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0001" sheetId="2" r:id="rId2"/>
    <sheet name="200120002" sheetId="3" r:id="rId3"/>
    <sheet name="formula_page" sheetId="4" r:id="rId4"/>
  </sheets>
  <calcPr calcId="124519" fullCalcOnLoad="1"/>
</workbook>
</file>

<file path=xl/sharedStrings.xml><?xml version="1.0" encoding="utf-8"?>
<sst xmlns="http://schemas.openxmlformats.org/spreadsheetml/2006/main" count="127" uniqueCount="61">
  <si>
    <t>Date:</t>
  </si>
  <si>
    <t>Request ID:</t>
  </si>
  <si>
    <t>TEST</t>
  </si>
  <si>
    <t>Hotplate</t>
  </si>
  <si>
    <t>Analyte(s)</t>
  </si>
  <si>
    <t>Na, Zr</t>
  </si>
  <si>
    <t>SOP#</t>
  </si>
  <si>
    <t>Cocktail</t>
  </si>
  <si>
    <t>sample(s)</t>
  </si>
  <si>
    <t>weight (g)</t>
  </si>
  <si>
    <t>volume (mL)</t>
  </si>
  <si>
    <t>200120001_1</t>
  </si>
  <si>
    <t>200120001_2</t>
  </si>
  <si>
    <t>200120002_1</t>
  </si>
  <si>
    <t>200120002_2</t>
  </si>
  <si>
    <t>La</t>
  </si>
  <si>
    <t>LOI temp:</t>
  </si>
  <si>
    <t>sample</t>
  </si>
  <si>
    <t>crucible (g)</t>
  </si>
  <si>
    <t>crucible + sample (g)</t>
  </si>
  <si>
    <t>LOI (%)</t>
  </si>
  <si>
    <t>correction</t>
  </si>
  <si>
    <t>200120001</t>
  </si>
  <si>
    <t>Na ICP analysis</t>
  </si>
  <si>
    <t>Dilution</t>
  </si>
  <si>
    <t>conc. [mg/L]</t>
  </si>
  <si>
    <t>Na_ppm [dried]</t>
  </si>
  <si>
    <t>%Na [dried]</t>
  </si>
  <si>
    <t>na result:</t>
  </si>
  <si>
    <t>na oxide factor:</t>
  </si>
  <si>
    <t>na oxide result:</t>
  </si>
  <si>
    <t>na lot:</t>
  </si>
  <si>
    <t>Zr ICP analysis</t>
  </si>
  <si>
    <t>Zr_ppm [dried]</t>
  </si>
  <si>
    <t>%Zr [dried]</t>
  </si>
  <si>
    <t>zr result:</t>
  </si>
  <si>
    <t>zr oxide factor:</t>
  </si>
  <si>
    <t>zr oxide result:</t>
  </si>
  <si>
    <t>zr lot:</t>
  </si>
  <si>
    <t>Manufacturer: Assurance, 27-159NAY exp: 2026-08-30</t>
  </si>
  <si>
    <t>Manufacturer: Assurance, 28-64ZRY exp: 2026-10-30</t>
  </si>
  <si>
    <t>Note(s):</t>
  </si>
  <si>
    <t>200120002</t>
  </si>
  <si>
    <t>La ICP analysis</t>
  </si>
  <si>
    <t>La_ppm [dried]</t>
  </si>
  <si>
    <t>%La [dried]</t>
  </si>
  <si>
    <t>la result:</t>
  </si>
  <si>
    <t>la oxide factor:</t>
  </si>
  <si>
    <t>la oxide result:</t>
  </si>
  <si>
    <t>la lot:</t>
  </si>
  <si>
    <t>Manufacturer: Assurance, 28-70LAY exp: 2027-02-28</t>
  </si>
  <si>
    <t>ppm M+ = [conc.][volume][dilution]/[weight]</t>
  </si>
  <si>
    <t>%M+ = [conc.][volume][dilution]/([weight]*10,000)</t>
  </si>
  <si>
    <t>%MO = [oxide factor]*%M+</t>
  </si>
  <si>
    <t>A = crucible</t>
  </si>
  <si>
    <t>B = crucible + sample</t>
  </si>
  <si>
    <t>C = crucible + sample after drying</t>
  </si>
  <si>
    <t>%LOI = ([B-A]-[C-A])/(B-A)*100%</t>
  </si>
  <si>
    <t>ppm M+  [dried] = ppm M+/([1-(%LOI)/100])</t>
  </si>
  <si>
    <t>%M+  [dried] = %M+/([1-(%LOI)/100])</t>
  </si>
  <si>
    <t>%MO [dried] = %MO/([1-(%LOI)/100])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</si>
</sst>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0.0000"/>
    <numFmt numFmtId="166" formatCode="######&quot; °C&quot;"/>
    <numFmt numFmtId="167" formatCode="0.00"/>
    <numFmt numFmtId="168" formatCode="0.000"/>
    <numFmt numFmtId="169" formatCode="0.00&quot; ppm&quot;"/>
    <numFmt numFmtId="170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167" fontId="0" fillId="0" borderId="1" xfId="0" applyNumberFormat="1" applyBorder="1"/>
    <xf numFmtId="168" fontId="0" fillId="0" borderId="1" xfId="0" applyNumberFormat="1" applyBorder="1"/>
    <xf numFmtId="0" fontId="2" fillId="0" borderId="0" xfId="0" applyFon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2" bestFit="1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46206</v>
      </c>
    </row>
    <row r="2" spans="1:3">
      <c r="A2" s="1" t="s">
        <v>1</v>
      </c>
      <c r="B2" s="3" t="s">
        <v>2</v>
      </c>
    </row>
    <row r="5" spans="1:3">
      <c r="A5" s="4" t="s">
        <v>3</v>
      </c>
      <c r="B5" s="4"/>
      <c r="C5" s="4"/>
    </row>
    <row r="6" spans="1:3">
      <c r="A6" s="5" t="s">
        <v>4</v>
      </c>
      <c r="B6" s="6" t="s">
        <v>5</v>
      </c>
      <c r="C6" s="6"/>
    </row>
    <row r="7" spans="1:3">
      <c r="A7" s="5" t="s">
        <v>6</v>
      </c>
      <c r="B7" s="6"/>
      <c r="C7" s="6"/>
    </row>
    <row r="8" spans="1:3">
      <c r="A8" s="5" t="s">
        <v>7</v>
      </c>
      <c r="B8" s="6"/>
      <c r="C8" s="6"/>
    </row>
    <row r="9" spans="1:3">
      <c r="A9" s="5" t="s">
        <v>8</v>
      </c>
      <c r="B9" s="5" t="s">
        <v>9</v>
      </c>
      <c r="C9" s="5" t="s">
        <v>10</v>
      </c>
    </row>
    <row r="10" spans="1:3">
      <c r="A10" s="5" t="s">
        <v>11</v>
      </c>
      <c r="B10" s="7"/>
      <c r="C10" s="6"/>
    </row>
    <row r="11" spans="1:3">
      <c r="A11" s="5" t="s">
        <v>12</v>
      </c>
      <c r="B11" s="7"/>
      <c r="C11" s="6"/>
    </row>
    <row r="12" spans="1:3">
      <c r="A12" s="5" t="s">
        <v>13</v>
      </c>
      <c r="B12" s="7"/>
      <c r="C12" s="6"/>
    </row>
    <row r="13" spans="1:3">
      <c r="A13" s="5" t="s">
        <v>14</v>
      </c>
      <c r="B13" s="7"/>
      <c r="C13" s="6"/>
    </row>
    <row r="16" spans="1:3">
      <c r="A16" s="4" t="s">
        <v>3</v>
      </c>
      <c r="B16" s="4"/>
      <c r="C16" s="4"/>
    </row>
    <row r="17" spans="1:3">
      <c r="A17" s="5" t="s">
        <v>4</v>
      </c>
      <c r="B17" s="6" t="s">
        <v>15</v>
      </c>
      <c r="C17" s="6"/>
    </row>
    <row r="18" spans="1:3">
      <c r="A18" s="5" t="s">
        <v>6</v>
      </c>
      <c r="B18" s="6"/>
      <c r="C18" s="6"/>
    </row>
    <row r="19" spans="1:3">
      <c r="A19" s="5" t="s">
        <v>7</v>
      </c>
      <c r="B19" s="6"/>
      <c r="C19" s="6"/>
    </row>
    <row r="20" spans="1:3">
      <c r="A20" s="5" t="s">
        <v>8</v>
      </c>
      <c r="B20" s="5" t="s">
        <v>9</v>
      </c>
      <c r="C20" s="5" t="s">
        <v>10</v>
      </c>
    </row>
    <row r="21" spans="1:3">
      <c r="A21" s="5" t="s">
        <v>13</v>
      </c>
      <c r="B21" s="7"/>
      <c r="C21" s="6"/>
    </row>
    <row r="22" spans="1:3">
      <c r="A22" s="5" t="s">
        <v>14</v>
      </c>
      <c r="B22" s="7"/>
      <c r="C22" s="6"/>
    </row>
  </sheetData>
  <mergeCells count="8">
    <mergeCell ref="A5:C5"/>
    <mergeCell ref="B6:C6"/>
    <mergeCell ref="B7:C7"/>
    <mergeCell ref="B8:C8"/>
    <mergeCell ref="A16:C16"/>
    <mergeCell ref="B17:C17"/>
    <mergeCell ref="B18:C18"/>
    <mergeCell ref="B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4.7109375" bestFit="1" customWidth="1"/>
    <col min="2" max="2" width="10.85546875" bestFit="1" customWidth="1"/>
    <col min="3" max="3" width="19.140625" bestFit="1" customWidth="1"/>
    <col min="4" max="4" width="15" bestFit="1" customWidth="1"/>
    <col min="5" max="5" width="11.5703125" bestFit="1" customWidth="1"/>
    <col min="6" max="6" width="10" bestFit="1" customWidth="1"/>
    <col min="7" max="21" width="7.7109375" customWidth="1"/>
  </cols>
  <sheetData>
    <row r="1" spans="1:9">
      <c r="A1" s="1" t="s">
        <v>0</v>
      </c>
      <c r="B1" s="2">
        <v>46206</v>
      </c>
    </row>
    <row r="2" spans="1:9">
      <c r="A2" s="1" t="s">
        <v>1</v>
      </c>
      <c r="B2" s="3" t="s">
        <v>2</v>
      </c>
    </row>
    <row r="5" spans="1:9">
      <c r="A5" s="8" t="s">
        <v>16</v>
      </c>
      <c r="B5" s="9"/>
    </row>
    <row r="6" spans="1:9">
      <c r="A6" s="5" t="s">
        <v>17</v>
      </c>
      <c r="B6" s="5" t="s">
        <v>18</v>
      </c>
      <c r="C6" s="5" t="s">
        <v>19</v>
      </c>
      <c r="D6" s="5">
        <f>"after "&amp;B5&amp;" °C"</f>
        <v>0</v>
      </c>
      <c r="E6" s="5" t="s">
        <v>20</v>
      </c>
      <c r="F6" s="5" t="s">
        <v>21</v>
      </c>
    </row>
    <row r="7" spans="1:9">
      <c r="A7" s="5" t="s">
        <v>22</v>
      </c>
      <c r="B7" s="7"/>
      <c r="C7" s="7"/>
      <c r="D7" s="7"/>
      <c r="E7" s="10">
        <f>(((C7-B7)-(D7-B7))/(C7-B7))*100</f>
        <v>0</v>
      </c>
      <c r="F7" s="7">
        <f>1-(E7/100)</f>
        <v>0</v>
      </c>
    </row>
    <row r="9" spans="1:9">
      <c r="A9" s="3" t="s">
        <v>23</v>
      </c>
      <c r="B9" s="3"/>
    </row>
    <row r="10" spans="1:9">
      <c r="A10" s="5" t="s">
        <v>17</v>
      </c>
      <c r="B10" s="5" t="s">
        <v>24</v>
      </c>
      <c r="C10" s="5" t="s">
        <v>25</v>
      </c>
      <c r="D10" s="5" t="s">
        <v>26</v>
      </c>
      <c r="E10" s="5" t="s">
        <v>27</v>
      </c>
    </row>
    <row r="11" spans="1:9">
      <c r="A11" s="5" t="s">
        <v>11</v>
      </c>
      <c r="B11" s="6">
        <f>"1/1"</f>
        <v>0</v>
      </c>
      <c r="C11" s="11"/>
      <c r="D11" s="10">
        <f>((C11)*(H11)*(I11))/(G11*$F$7)</f>
        <v>0</v>
      </c>
      <c r="E11" s="10">
        <f>D11/10000</f>
        <v>0</v>
      </c>
      <c r="G11" s="12">
        <f>digestion_page!B10</f>
        <v>0</v>
      </c>
      <c r="H11" s="12">
        <f>digestion_page!C10</f>
        <v>0</v>
      </c>
      <c r="I11" s="12">
        <f>(LEFT(B11,FIND("/",B11)-1)/RIGHT(B11,LEN(B11)-FIND("/", B11)))</f>
        <v>0</v>
      </c>
    </row>
    <row r="12" spans="1:9">
      <c r="A12" s="5" t="s">
        <v>12</v>
      </c>
      <c r="B12" s="6">
        <f>"1/1"</f>
        <v>0</v>
      </c>
      <c r="C12" s="11"/>
      <c r="D12" s="10">
        <f>((C12)*(H12)*(I12))/(G12*$F$7)</f>
        <v>0</v>
      </c>
      <c r="E12" s="10">
        <f>D12/10000</f>
        <v>0</v>
      </c>
      <c r="G12" s="12">
        <f>digestion_page!B11</f>
        <v>0</v>
      </c>
      <c r="H12" s="12">
        <f>digestion_page!C11</f>
        <v>0</v>
      </c>
      <c r="I12" s="12">
        <f>(LEFT(B12,FIND("/",B12)-1)/RIGHT(B12,LEN(B12)-FIND("/", B12)))</f>
        <v>0</v>
      </c>
    </row>
    <row r="14" spans="1:9">
      <c r="A14" s="8" t="s">
        <v>28</v>
      </c>
      <c r="B14" s="8"/>
      <c r="C14" s="13">
        <f>AVERAGE(D11:D12)</f>
        <v>0</v>
      </c>
    </row>
    <row r="15" spans="1:9">
      <c r="A15" s="8" t="s">
        <v>28</v>
      </c>
      <c r="B15" s="8"/>
      <c r="C15" s="14">
        <f>AVERAGE(E11:E12)</f>
        <v>0</v>
      </c>
    </row>
    <row r="16" spans="1:9">
      <c r="A16" s="8" t="s">
        <v>29</v>
      </c>
      <c r="B16" s="8"/>
      <c r="C16" s="3"/>
    </row>
    <row r="17" spans="1:9">
      <c r="A17" s="8" t="s">
        <v>30</v>
      </c>
      <c r="B17" s="8"/>
      <c r="C17" s="14">
        <f>AVERAGE(E11:E12)*(C16)</f>
        <v>0</v>
      </c>
    </row>
    <row r="18" spans="1:9">
      <c r="A18" s="8" t="s">
        <v>31</v>
      </c>
      <c r="B18" s="8"/>
      <c r="C18" s="15" t="s">
        <v>39</v>
      </c>
      <c r="D18" s="15"/>
      <c r="E18" s="15"/>
      <c r="F18" s="15"/>
    </row>
    <row r="20" spans="1:9">
      <c r="A20" s="3" t="s">
        <v>32</v>
      </c>
      <c r="B20" s="3"/>
    </row>
    <row r="21" spans="1:9">
      <c r="A21" s="5" t="s">
        <v>17</v>
      </c>
      <c r="B21" s="5" t="s">
        <v>24</v>
      </c>
      <c r="C21" s="5" t="s">
        <v>25</v>
      </c>
      <c r="D21" s="5" t="s">
        <v>33</v>
      </c>
      <c r="E21" s="5" t="s">
        <v>34</v>
      </c>
    </row>
    <row r="22" spans="1:9">
      <c r="A22" s="5" t="s">
        <v>11</v>
      </c>
      <c r="B22" s="6">
        <f>"1/1"</f>
        <v>0</v>
      </c>
      <c r="C22" s="11"/>
      <c r="D22" s="10">
        <f>((C22)*(H22)*(I22))/(G22*$F$7)</f>
        <v>0</v>
      </c>
      <c r="E22" s="10">
        <f>D22/10000</f>
        <v>0</v>
      </c>
      <c r="G22" s="12">
        <f>digestion_page!B10</f>
        <v>0</v>
      </c>
      <c r="H22" s="12">
        <f>digestion_page!C10</f>
        <v>0</v>
      </c>
      <c r="I22" s="12">
        <f>(LEFT(B22,FIND("/",B22)-1)/RIGHT(B22,LEN(B22)-FIND("/", B22)))</f>
        <v>0</v>
      </c>
    </row>
    <row r="23" spans="1:9">
      <c r="A23" s="5" t="s">
        <v>12</v>
      </c>
      <c r="B23" s="6">
        <f>"1/1"</f>
        <v>0</v>
      </c>
      <c r="C23" s="11"/>
      <c r="D23" s="10">
        <f>((C23)*(H23)*(I23))/(G23*$F$7)</f>
        <v>0</v>
      </c>
      <c r="E23" s="10">
        <f>D23/10000</f>
        <v>0</v>
      </c>
      <c r="G23" s="12">
        <f>digestion_page!B11</f>
        <v>0</v>
      </c>
      <c r="H23" s="12">
        <f>digestion_page!C11</f>
        <v>0</v>
      </c>
      <c r="I23" s="12">
        <f>(LEFT(B23,FIND("/",B23)-1)/RIGHT(B23,LEN(B23)-FIND("/", B23)))</f>
        <v>0</v>
      </c>
    </row>
    <row r="25" spans="1:9">
      <c r="A25" s="8" t="s">
        <v>35</v>
      </c>
      <c r="B25" s="8"/>
      <c r="C25" s="13">
        <f>AVERAGE(D22:D23)</f>
        <v>0</v>
      </c>
    </row>
    <row r="26" spans="1:9">
      <c r="A26" s="8" t="s">
        <v>35</v>
      </c>
      <c r="B26" s="8"/>
      <c r="C26" s="14">
        <f>AVERAGE(E22:E23)</f>
        <v>0</v>
      </c>
    </row>
    <row r="27" spans="1:9">
      <c r="A27" s="8" t="s">
        <v>36</v>
      </c>
      <c r="B27" s="8"/>
      <c r="C27" s="3"/>
    </row>
    <row r="28" spans="1:9">
      <c r="A28" s="8" t="s">
        <v>37</v>
      </c>
      <c r="B28" s="8"/>
      <c r="C28" s="14">
        <f>AVERAGE(E22:E23)*(C27)</f>
        <v>0</v>
      </c>
    </row>
    <row r="29" spans="1:9">
      <c r="A29" s="8" t="s">
        <v>38</v>
      </c>
      <c r="B29" s="8"/>
      <c r="C29" s="15" t="s">
        <v>40</v>
      </c>
      <c r="D29" s="15"/>
      <c r="E29" s="15"/>
      <c r="F29" s="15"/>
    </row>
    <row r="31" spans="1:9">
      <c r="B31" s="8" t="s">
        <v>41</v>
      </c>
      <c r="C31" s="16"/>
      <c r="D31" s="16"/>
      <c r="E31" s="16"/>
      <c r="F31" s="16"/>
    </row>
    <row r="32" spans="1:9">
      <c r="C32" s="16"/>
      <c r="D32" s="16"/>
      <c r="E32" s="16"/>
      <c r="F32" s="16"/>
    </row>
    <row r="33" spans="3:6">
      <c r="C33" s="16"/>
      <c r="D33" s="16"/>
      <c r="E33" s="16"/>
      <c r="F33" s="16"/>
    </row>
  </sheetData>
  <mergeCells count="15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C31:F33"/>
  </mergeCells>
  <conditionalFormatting sqref="B5">
    <cfRule type="containsBlanks" dxfId="0" priority="1">
      <formula>LEN(TRIM(B5))=0</formula>
    </cfRule>
  </conditionalFormatting>
  <conditionalFormatting sqref="C18:F18">
    <cfRule type="containsBlanks" dxfId="0" priority="2">
      <formula>LEN(TRIM(C18))=0</formula>
    </cfRule>
  </conditionalFormatting>
  <conditionalFormatting sqref="C29:F29">
    <cfRule type="containsBlanks" dxfId="0" priority="3">
      <formula>LEN(TRIM(C29))=0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cols>
    <col min="1" max="1" width="14.7109375" bestFit="1" customWidth="1"/>
    <col min="2" max="2" width="10.85546875" bestFit="1" customWidth="1"/>
    <col min="3" max="3" width="19.140625" bestFit="1" customWidth="1"/>
    <col min="4" max="4" width="15" bestFit="1" customWidth="1"/>
    <col min="5" max="5" width="11.5703125" bestFit="1" customWidth="1"/>
    <col min="6" max="6" width="10" bestFit="1" customWidth="1"/>
    <col min="7" max="32" width="7.7109375" customWidth="1"/>
  </cols>
  <sheetData>
    <row r="1" spans="1:9">
      <c r="A1" s="1" t="s">
        <v>0</v>
      </c>
      <c r="B1" s="2">
        <v>46206</v>
      </c>
    </row>
    <row r="2" spans="1:9">
      <c r="A2" s="1" t="s">
        <v>1</v>
      </c>
      <c r="B2" s="3" t="s">
        <v>2</v>
      </c>
    </row>
    <row r="5" spans="1:9">
      <c r="A5" s="8" t="s">
        <v>16</v>
      </c>
      <c r="B5" s="9"/>
    </row>
    <row r="6" spans="1:9">
      <c r="A6" s="5" t="s">
        <v>17</v>
      </c>
      <c r="B6" s="5" t="s">
        <v>18</v>
      </c>
      <c r="C6" s="5" t="s">
        <v>19</v>
      </c>
      <c r="D6" s="5">
        <f>"after "&amp;B5&amp;" °C"</f>
        <v>0</v>
      </c>
      <c r="E6" s="5" t="s">
        <v>20</v>
      </c>
      <c r="F6" s="5" t="s">
        <v>21</v>
      </c>
    </row>
    <row r="7" spans="1:9">
      <c r="A7" s="5" t="s">
        <v>42</v>
      </c>
      <c r="B7" s="7"/>
      <c r="C7" s="7"/>
      <c r="D7" s="7"/>
      <c r="E7" s="10">
        <f>(((C7-B7)-(D7-B7))/(C7-B7))*100</f>
        <v>0</v>
      </c>
      <c r="F7" s="7">
        <f>1-(E7/100)</f>
        <v>0</v>
      </c>
    </row>
    <row r="9" spans="1:9">
      <c r="A9" s="3" t="s">
        <v>23</v>
      </c>
      <c r="B9" s="3"/>
    </row>
    <row r="10" spans="1:9">
      <c r="A10" s="5" t="s">
        <v>17</v>
      </c>
      <c r="B10" s="5" t="s">
        <v>24</v>
      </c>
      <c r="C10" s="5" t="s">
        <v>25</v>
      </c>
      <c r="D10" s="5" t="s">
        <v>26</v>
      </c>
      <c r="E10" s="5" t="s">
        <v>27</v>
      </c>
    </row>
    <row r="11" spans="1:9">
      <c r="A11" s="5" t="s">
        <v>13</v>
      </c>
      <c r="B11" s="6">
        <f>"1/1"</f>
        <v>0</v>
      </c>
      <c r="C11" s="11"/>
      <c r="D11" s="10">
        <f>((C11)*(H11)*(I11))/(G11*$F$7)</f>
        <v>0</v>
      </c>
      <c r="E11" s="10">
        <f>D11/10000</f>
        <v>0</v>
      </c>
      <c r="G11" s="12">
        <f>digestion_page!B12</f>
        <v>0</v>
      </c>
      <c r="H11" s="12">
        <f>digestion_page!C12</f>
        <v>0</v>
      </c>
      <c r="I11" s="12">
        <f>(LEFT(B11,FIND("/",B11)-1)/RIGHT(B11,LEN(B11)-FIND("/", B11)))</f>
        <v>0</v>
      </c>
    </row>
    <row r="12" spans="1:9">
      <c r="A12" s="5" t="s">
        <v>14</v>
      </c>
      <c r="B12" s="6">
        <f>"1/1"</f>
        <v>0</v>
      </c>
      <c r="C12" s="11"/>
      <c r="D12" s="10">
        <f>((C12)*(H12)*(I12))/(G12*$F$7)</f>
        <v>0</v>
      </c>
      <c r="E12" s="10">
        <f>D12/10000</f>
        <v>0</v>
      </c>
      <c r="G12" s="12">
        <f>digestion_page!B13</f>
        <v>0</v>
      </c>
      <c r="H12" s="12">
        <f>digestion_page!C13</f>
        <v>0</v>
      </c>
      <c r="I12" s="12">
        <f>(LEFT(B12,FIND("/",B12)-1)/RIGHT(B12,LEN(B12)-FIND("/", B12)))</f>
        <v>0</v>
      </c>
    </row>
    <row r="14" spans="1:9">
      <c r="A14" s="8" t="s">
        <v>28</v>
      </c>
      <c r="B14" s="8"/>
      <c r="C14" s="13">
        <f>AVERAGE(D11:D12)</f>
        <v>0</v>
      </c>
    </row>
    <row r="15" spans="1:9">
      <c r="A15" s="8" t="s">
        <v>28</v>
      </c>
      <c r="B15" s="8"/>
      <c r="C15" s="14">
        <f>AVERAGE(E11:E12)</f>
        <v>0</v>
      </c>
    </row>
    <row r="16" spans="1:9">
      <c r="A16" s="8" t="s">
        <v>29</v>
      </c>
      <c r="B16" s="8"/>
      <c r="C16" s="3"/>
    </row>
    <row r="17" spans="1:9">
      <c r="A17" s="8" t="s">
        <v>30</v>
      </c>
      <c r="B17" s="8"/>
      <c r="C17" s="14">
        <f>AVERAGE(E11:E12)*(C16)</f>
        <v>0</v>
      </c>
    </row>
    <row r="18" spans="1:9">
      <c r="A18" s="8" t="s">
        <v>31</v>
      </c>
      <c r="B18" s="8"/>
      <c r="C18" s="15" t="s">
        <v>39</v>
      </c>
      <c r="D18" s="15"/>
      <c r="E18" s="15"/>
      <c r="F18" s="15"/>
    </row>
    <row r="20" spans="1:9">
      <c r="A20" s="3" t="s">
        <v>32</v>
      </c>
      <c r="B20" s="3"/>
    </row>
    <row r="21" spans="1:9">
      <c r="A21" s="5" t="s">
        <v>17</v>
      </c>
      <c r="B21" s="5" t="s">
        <v>24</v>
      </c>
      <c r="C21" s="5" t="s">
        <v>25</v>
      </c>
      <c r="D21" s="5" t="s">
        <v>33</v>
      </c>
      <c r="E21" s="5" t="s">
        <v>34</v>
      </c>
    </row>
    <row r="22" spans="1:9">
      <c r="A22" s="5" t="s">
        <v>13</v>
      </c>
      <c r="B22" s="6">
        <f>"1/1"</f>
        <v>0</v>
      </c>
      <c r="C22" s="11"/>
      <c r="D22" s="10">
        <f>((C22)*(H22)*(I22))/(G22*$F$7)</f>
        <v>0</v>
      </c>
      <c r="E22" s="10">
        <f>D22/10000</f>
        <v>0</v>
      </c>
      <c r="G22" s="12">
        <f>digestion_page!B12</f>
        <v>0</v>
      </c>
      <c r="H22" s="12">
        <f>digestion_page!C12</f>
        <v>0</v>
      </c>
      <c r="I22" s="12">
        <f>(LEFT(B22,FIND("/",B22)-1)/RIGHT(B22,LEN(B22)-FIND("/", B22)))</f>
        <v>0</v>
      </c>
    </row>
    <row r="23" spans="1:9">
      <c r="A23" s="5" t="s">
        <v>14</v>
      </c>
      <c r="B23" s="6">
        <f>"1/1"</f>
        <v>0</v>
      </c>
      <c r="C23" s="11"/>
      <c r="D23" s="10">
        <f>((C23)*(H23)*(I23))/(G23*$F$7)</f>
        <v>0</v>
      </c>
      <c r="E23" s="10">
        <f>D23/10000</f>
        <v>0</v>
      </c>
      <c r="G23" s="12">
        <f>digestion_page!B13</f>
        <v>0</v>
      </c>
      <c r="H23" s="12">
        <f>digestion_page!C13</f>
        <v>0</v>
      </c>
      <c r="I23" s="12">
        <f>(LEFT(B23,FIND("/",B23)-1)/RIGHT(B23,LEN(B23)-FIND("/", B23)))</f>
        <v>0</v>
      </c>
    </row>
    <row r="25" spans="1:9">
      <c r="A25" s="8" t="s">
        <v>35</v>
      </c>
      <c r="B25" s="8"/>
      <c r="C25" s="13">
        <f>AVERAGE(D22:D23)</f>
        <v>0</v>
      </c>
    </row>
    <row r="26" spans="1:9">
      <c r="A26" s="8" t="s">
        <v>35</v>
      </c>
      <c r="B26" s="8"/>
      <c r="C26" s="14">
        <f>AVERAGE(E22:E23)</f>
        <v>0</v>
      </c>
    </row>
    <row r="27" spans="1:9">
      <c r="A27" s="8" t="s">
        <v>36</v>
      </c>
      <c r="B27" s="8"/>
      <c r="C27" s="3"/>
    </row>
    <row r="28" spans="1:9">
      <c r="A28" s="8" t="s">
        <v>37</v>
      </c>
      <c r="B28" s="8"/>
      <c r="C28" s="14">
        <f>AVERAGE(E22:E23)*(C27)</f>
        <v>0</v>
      </c>
    </row>
    <row r="29" spans="1:9">
      <c r="A29" s="8" t="s">
        <v>38</v>
      </c>
      <c r="B29" s="8"/>
      <c r="C29" s="15" t="s">
        <v>40</v>
      </c>
      <c r="D29" s="15"/>
      <c r="E29" s="15"/>
      <c r="F29" s="15"/>
    </row>
    <row r="31" spans="1:9">
      <c r="A31" s="3" t="s">
        <v>43</v>
      </c>
      <c r="B31" s="3"/>
    </row>
    <row r="32" spans="1:9">
      <c r="A32" s="5" t="s">
        <v>17</v>
      </c>
      <c r="B32" s="5" t="s">
        <v>24</v>
      </c>
      <c r="C32" s="5" t="s">
        <v>25</v>
      </c>
      <c r="D32" s="5" t="s">
        <v>44</v>
      </c>
      <c r="E32" s="5" t="s">
        <v>45</v>
      </c>
    </row>
    <row r="33" spans="1:9">
      <c r="A33" s="5" t="s">
        <v>13</v>
      </c>
      <c r="B33" s="6">
        <f>"1/1"</f>
        <v>0</v>
      </c>
      <c r="C33" s="11"/>
      <c r="D33" s="10">
        <f>((C33)*(H33)*(I33))/(G33*$F$7)</f>
        <v>0</v>
      </c>
      <c r="E33" s="10">
        <f>D33/10000</f>
        <v>0</v>
      </c>
      <c r="G33" s="12">
        <f>digestion_page!B21</f>
        <v>0</v>
      </c>
      <c r="H33" s="12">
        <f>digestion_page!C21</f>
        <v>0</v>
      </c>
      <c r="I33" s="12">
        <f>(LEFT(B33,FIND("/",B33)-1)/RIGHT(B33,LEN(B33)-FIND("/", B33)))</f>
        <v>0</v>
      </c>
    </row>
    <row r="34" spans="1:9">
      <c r="A34" s="5" t="s">
        <v>14</v>
      </c>
      <c r="B34" s="6">
        <f>"1/1"</f>
        <v>0</v>
      </c>
      <c r="C34" s="11"/>
      <c r="D34" s="10">
        <f>((C34)*(H34)*(I34))/(G34*$F$7)</f>
        <v>0</v>
      </c>
      <c r="E34" s="10">
        <f>D34/10000</f>
        <v>0</v>
      </c>
      <c r="G34" s="12">
        <f>digestion_page!B22</f>
        <v>0</v>
      </c>
      <c r="H34" s="12">
        <f>digestion_page!C22</f>
        <v>0</v>
      </c>
      <c r="I34" s="12">
        <f>(LEFT(B34,FIND("/",B34)-1)/RIGHT(B34,LEN(B34)-FIND("/", B34)))</f>
        <v>0</v>
      </c>
    </row>
    <row r="36" spans="1:9">
      <c r="A36" s="8" t="s">
        <v>46</v>
      </c>
      <c r="B36" s="8"/>
      <c r="C36" s="13">
        <f>AVERAGE(D33:D34)</f>
        <v>0</v>
      </c>
    </row>
    <row r="37" spans="1:9">
      <c r="A37" s="8" t="s">
        <v>46</v>
      </c>
      <c r="B37" s="8"/>
      <c r="C37" s="14">
        <f>AVERAGE(E33:E34)</f>
        <v>0</v>
      </c>
    </row>
    <row r="38" spans="1:9">
      <c r="A38" s="8" t="s">
        <v>47</v>
      </c>
      <c r="B38" s="8"/>
      <c r="C38" s="3"/>
    </row>
    <row r="39" spans="1:9">
      <c r="A39" s="8" t="s">
        <v>48</v>
      </c>
      <c r="B39" s="8"/>
      <c r="C39" s="14">
        <f>AVERAGE(E33:E34)*(C38)</f>
        <v>0</v>
      </c>
    </row>
    <row r="40" spans="1:9">
      <c r="A40" s="8" t="s">
        <v>49</v>
      </c>
      <c r="B40" s="8"/>
      <c r="C40" s="15" t="s">
        <v>50</v>
      </c>
      <c r="D40" s="15"/>
      <c r="E40" s="15"/>
      <c r="F40" s="15"/>
    </row>
    <row r="42" spans="1:9">
      <c r="B42" s="8" t="s">
        <v>41</v>
      </c>
      <c r="C42" s="16"/>
      <c r="D42" s="16"/>
      <c r="E42" s="16"/>
      <c r="F42" s="16"/>
    </row>
    <row r="43" spans="1:9">
      <c r="C43" s="16"/>
      <c r="D43" s="16"/>
      <c r="E43" s="16"/>
      <c r="F43" s="16"/>
    </row>
    <row r="44" spans="1:9">
      <c r="C44" s="16"/>
      <c r="D44" s="16"/>
      <c r="E44" s="16"/>
      <c r="F44" s="16"/>
    </row>
  </sheetData>
  <mergeCells count="22">
    <mergeCell ref="A9:B9"/>
    <mergeCell ref="A14:B14"/>
    <mergeCell ref="A15:B15"/>
    <mergeCell ref="A16:B16"/>
    <mergeCell ref="A17:B17"/>
    <mergeCell ref="A18:B18"/>
    <mergeCell ref="C18:F18"/>
    <mergeCell ref="A20:B20"/>
    <mergeCell ref="A25:B25"/>
    <mergeCell ref="A26:B26"/>
    <mergeCell ref="A27:B27"/>
    <mergeCell ref="A28:B28"/>
    <mergeCell ref="A29:B29"/>
    <mergeCell ref="C29:F29"/>
    <mergeCell ref="A31:B31"/>
    <mergeCell ref="A36:B36"/>
    <mergeCell ref="A37:B37"/>
    <mergeCell ref="A38:B38"/>
    <mergeCell ref="A39:B39"/>
    <mergeCell ref="A40:B40"/>
    <mergeCell ref="C40:F40"/>
    <mergeCell ref="C42:F44"/>
  </mergeCells>
  <conditionalFormatting sqref="B5">
    <cfRule type="containsBlanks" dxfId="0" priority="1">
      <formula>LEN(TRIM(B5))=0</formula>
    </cfRule>
  </conditionalFormatting>
  <conditionalFormatting sqref="C18:F18">
    <cfRule type="containsBlanks" dxfId="0" priority="2">
      <formula>LEN(TRIM(C18))=0</formula>
    </cfRule>
  </conditionalFormatting>
  <conditionalFormatting sqref="C29:F29">
    <cfRule type="containsBlanks" dxfId="0" priority="3">
      <formula>LEN(TRIM(C29))=0</formula>
    </cfRule>
  </conditionalFormatting>
  <conditionalFormatting sqref="C40:F40">
    <cfRule type="containsBlanks" dxfId="0" priority="4">
      <formula>LEN(TRIM(C40))=0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cols>
    <col min="1" max="1" width="46.140625" bestFit="1" customWidth="1"/>
  </cols>
  <sheetData>
    <row r="1" spans="1:1">
      <c r="A1" s="17" t="s">
        <v>51</v>
      </c>
    </row>
    <row r="3" spans="1:1">
      <c r="A3" s="17" t="s">
        <v>52</v>
      </c>
    </row>
    <row r="5" spans="1:1">
      <c r="A5" s="17" t="s">
        <v>53</v>
      </c>
    </row>
    <row r="7" spans="1:1">
      <c r="A7" s="17" t="s">
        <v>54</v>
      </c>
    </row>
    <row r="8" spans="1:1">
      <c r="A8" s="17" t="s">
        <v>55</v>
      </c>
    </row>
    <row r="9" spans="1:1">
      <c r="A9" s="17" t="s">
        <v>56</v>
      </c>
    </row>
    <row r="11" spans="1:1">
      <c r="A11" s="17" t="s">
        <v>57</v>
      </c>
    </row>
    <row r="13" spans="1:1">
      <c r="A13" s="17" t="s">
        <v>58</v>
      </c>
    </row>
    <row r="15" spans="1:1">
      <c r="A15" s="17" t="s">
        <v>59</v>
      </c>
    </row>
    <row r="17" spans="1:1">
      <c r="A17" s="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200120001</vt:lpstr>
      <vt:lpstr>200120002</vt:lpstr>
      <vt:lpstr>formula_page</vt:lpstr>
    </vt:vector>
  </TitlesOfParts>
  <Company>Clariant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2026-07-03T13:36:16Z</dcterms:created>
  <dcterms:modified xsi:type="dcterms:W3CDTF">2026-07-03T13:36:16Z</dcterms:modified>
</cp:coreProperties>
</file>