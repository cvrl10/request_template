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a\clariant\request_template\"/>
    </mc:Choice>
  </mc:AlternateContent>
  <xr:revisionPtr revIDLastSave="0" documentId="13_ncr:1_{4CDD7B4F-DA0A-47F4-A1CD-EE5D3240E80D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digestion_page" sheetId="1" r:id="rId1"/>
    <sheet name="200126511" sheetId="2" r:id="rId2"/>
    <sheet name="200126512" sheetId="3" r:id="rId3"/>
    <sheet name="200126513" sheetId="4" r:id="rId4"/>
    <sheet name="formula_pa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G8" i="4"/>
  <c r="B8" i="4"/>
  <c r="I8" i="4" s="1"/>
  <c r="I7" i="4"/>
  <c r="H7" i="4"/>
  <c r="G7" i="4"/>
  <c r="B7" i="4"/>
  <c r="I8" i="3"/>
  <c r="H8" i="3"/>
  <c r="G8" i="3"/>
  <c r="B8" i="3"/>
  <c r="H7" i="3"/>
  <c r="G7" i="3"/>
  <c r="B7" i="3"/>
  <c r="I7" i="3" s="1"/>
  <c r="H8" i="2"/>
  <c r="G8" i="2"/>
  <c r="B8" i="2"/>
  <c r="I8" i="2" s="1"/>
  <c r="H7" i="2"/>
  <c r="G7" i="2"/>
  <c r="B7" i="2"/>
  <c r="I7" i="2" s="1"/>
  <c r="D8" i="3" l="1"/>
  <c r="E8" i="3" s="1"/>
  <c r="D7" i="3"/>
  <c r="E7" i="3" s="1"/>
  <c r="D8" i="4"/>
  <c r="E8" i="4" s="1"/>
  <c r="D8" i="2"/>
  <c r="D7" i="4"/>
  <c r="D7" i="2"/>
  <c r="E7" i="2" s="1"/>
  <c r="C10" i="3"/>
  <c r="E7" i="4" l="1"/>
  <c r="C10" i="4"/>
  <c r="E8" i="2"/>
  <c r="C10" i="2"/>
  <c r="C11" i="4"/>
  <c r="C13" i="4"/>
  <c r="C11" i="3"/>
  <c r="C13" i="3"/>
  <c r="C11" i="2"/>
  <c r="C13" i="2"/>
</calcChain>
</file>

<file path=xl/sharedStrings.xml><?xml version="1.0" encoding="utf-8"?>
<sst xmlns="http://schemas.openxmlformats.org/spreadsheetml/2006/main" count="107" uniqueCount="58">
  <si>
    <t>Date:</t>
  </si>
  <si>
    <t>Request ID:</t>
  </si>
  <si>
    <t>TEST</t>
  </si>
  <si>
    <t>Microwave</t>
  </si>
  <si>
    <t>Element(s)</t>
  </si>
  <si>
    <t>Ca</t>
  </si>
  <si>
    <t>SOP#</t>
  </si>
  <si>
    <t>Acid Cocktail</t>
  </si>
  <si>
    <t>Rack</t>
  </si>
  <si>
    <t>Vessel</t>
  </si>
  <si>
    <t>Stir</t>
  </si>
  <si>
    <t>Time (min)</t>
  </si>
  <si>
    <t>Power (W)</t>
  </si>
  <si>
    <t>T1 (°C)</t>
  </si>
  <si>
    <t>T2 (°C)</t>
  </si>
  <si>
    <t>P (bar)</t>
  </si>
  <si>
    <t>sample(s)</t>
  </si>
  <si>
    <t>weight (g)</t>
  </si>
  <si>
    <t>volume (mL)</t>
  </si>
  <si>
    <t>200126511_1</t>
  </si>
  <si>
    <t>200126511_2</t>
  </si>
  <si>
    <t>200126513_1</t>
  </si>
  <si>
    <t>200126513_2</t>
  </si>
  <si>
    <t>Y</t>
  </si>
  <si>
    <t>200126512_1</t>
  </si>
  <si>
    <t>200126512_2</t>
  </si>
  <si>
    <t>Ca ICP analysis</t>
  </si>
  <si>
    <t>sample</t>
  </si>
  <si>
    <t>Dilution</t>
  </si>
  <si>
    <t>conc. [mg/L]</t>
  </si>
  <si>
    <t>Ca_ppm</t>
  </si>
  <si>
    <t>%Ca</t>
  </si>
  <si>
    <t>ca result:</t>
  </si>
  <si>
    <t>ca oxide factor:</t>
  </si>
  <si>
    <t>ca oxide result:</t>
  </si>
  <si>
    <t>ca lot:</t>
  </si>
  <si>
    <t>Manufacturer: Assurance, 28-35CAY exp: 2026-10-30</t>
  </si>
  <si>
    <t>Note(s):</t>
  </si>
  <si>
    <t>Y ICP analysis</t>
  </si>
  <si>
    <t>Y_ppm</t>
  </si>
  <si>
    <t>%Y</t>
  </si>
  <si>
    <t>y result:</t>
  </si>
  <si>
    <t>y oxide factor:</t>
  </si>
  <si>
    <t>y oxide result:</t>
  </si>
  <si>
    <t>y lot:</t>
  </si>
  <si>
    <t>A = crucible</t>
  </si>
  <si>
    <t>B = crucible + sample</t>
  </si>
  <si>
    <t>C = crucible + sample after drying</t>
  </si>
  <si>
    <t>%LOI = ([B-A]-[C-A])/(B-A)*100%</t>
  </si>
  <si>
    <t>ppm M+ = [conc.][volume][dilution]/[weight]</t>
  </si>
  <si>
    <t>%M+ = [conc.][volume][dilution]/([weight]*10,000)</t>
  </si>
  <si>
    <t>%MO = [oxide factor]*%M+</t>
  </si>
  <si>
    <t>ppm M+  [dried] = ppm M+/([1-(%LOI)/100])</t>
  </si>
  <si>
    <t>%M+  [dried] = %M+/([1-(%LOI)/100])</t>
  </si>
  <si>
    <t>%MO [dried] = %MO/([1-(%LOI)/100])</t>
  </si>
  <si>
    <t>%Cr(VI) = (1.733[mL FAS][N FAS])/([weight])</t>
  </si>
  <si>
    <t>%Cr2O3 = 1.462*[%Cr(VI)]</t>
  </si>
  <si>
    <t>%Cr(III) = total_Cr - Cr(VI)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</si>
</sst>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"/>
    <numFmt numFmtId="167" formatCode="0.00&quot; ppm&quot;"/>
    <numFmt numFmtId="168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0" fontId="0" fillId="0" borderId="0" xfId="0" applyAlignment="1">
      <alignment horizontal="righ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3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opLeftCell="A16" workbookViewId="0">
      <selection activeCell="C35" sqref="C35:C36"/>
    </sheetView>
  </sheetViews>
  <sheetFormatPr defaultRowHeight="14.4" x14ac:dyDescent="0.3"/>
  <cols>
    <col min="1" max="1" width="12.33203125" bestFit="1" customWidth="1"/>
    <col min="2" max="2" width="10.6640625" customWidth="1"/>
    <col min="3" max="3" width="12.109375" bestFit="1" customWidth="1"/>
    <col min="4" max="4" width="7.109375" bestFit="1" customWidth="1"/>
    <col min="5" max="5" width="6.88671875" bestFit="1" customWidth="1"/>
  </cols>
  <sheetData>
    <row r="1" spans="1:5" x14ac:dyDescent="0.3">
      <c r="A1" s="1" t="s">
        <v>0</v>
      </c>
      <c r="B1" s="2">
        <v>46163</v>
      </c>
    </row>
    <row r="2" spans="1:5" x14ac:dyDescent="0.3">
      <c r="A2" s="1" t="s">
        <v>1</v>
      </c>
      <c r="B2" s="3" t="s">
        <v>2</v>
      </c>
    </row>
    <row r="5" spans="1:5" x14ac:dyDescent="0.3">
      <c r="A5" s="13" t="s">
        <v>3</v>
      </c>
      <c r="B5" s="13"/>
      <c r="C5" s="13"/>
      <c r="D5" s="13"/>
      <c r="E5" s="13"/>
    </row>
    <row r="6" spans="1:5" x14ac:dyDescent="0.3">
      <c r="A6" s="4" t="s">
        <v>4</v>
      </c>
      <c r="B6" s="14" t="s">
        <v>5</v>
      </c>
      <c r="C6" s="14"/>
      <c r="D6" s="14"/>
      <c r="E6" s="14"/>
    </row>
    <row r="7" spans="1:5" x14ac:dyDescent="0.3">
      <c r="A7" s="4" t="s">
        <v>6</v>
      </c>
      <c r="B7" s="14"/>
      <c r="C7" s="14"/>
      <c r="D7" s="14"/>
      <c r="E7" s="14"/>
    </row>
    <row r="8" spans="1:5" x14ac:dyDescent="0.3">
      <c r="A8" s="4" t="s">
        <v>7</v>
      </c>
      <c r="B8" s="14"/>
      <c r="C8" s="14"/>
      <c r="D8" s="14"/>
      <c r="E8" s="14"/>
    </row>
    <row r="9" spans="1:5" x14ac:dyDescent="0.3">
      <c r="A9" s="4" t="s">
        <v>8</v>
      </c>
      <c r="B9" s="15"/>
      <c r="C9" s="15"/>
      <c r="D9" s="15"/>
      <c r="E9" s="15"/>
    </row>
    <row r="10" spans="1:5" x14ac:dyDescent="0.3">
      <c r="A10" s="4" t="s">
        <v>9</v>
      </c>
      <c r="B10" s="14"/>
      <c r="C10" s="14"/>
      <c r="D10" s="14"/>
      <c r="E10" s="14"/>
    </row>
    <row r="11" spans="1:5" x14ac:dyDescent="0.3">
      <c r="A11" s="4" t="s">
        <v>10</v>
      </c>
      <c r="B11" s="15"/>
      <c r="C11" s="15"/>
      <c r="D11" s="15"/>
      <c r="E11" s="15"/>
    </row>
    <row r="12" spans="1:5" x14ac:dyDescent="0.3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</row>
    <row r="13" spans="1:5" x14ac:dyDescent="0.3">
      <c r="A13" s="5">
        <v>15</v>
      </c>
      <c r="B13" s="5">
        <v>1200</v>
      </c>
      <c r="C13" s="5">
        <v>180</v>
      </c>
      <c r="D13" s="5">
        <v>65</v>
      </c>
      <c r="E13" s="5">
        <v>110</v>
      </c>
    </row>
    <row r="14" spans="1:5" x14ac:dyDescent="0.3">
      <c r="A14" s="5">
        <v>15</v>
      </c>
      <c r="B14" s="5">
        <v>1500</v>
      </c>
      <c r="C14" s="5">
        <v>240</v>
      </c>
      <c r="D14" s="5">
        <v>65</v>
      </c>
      <c r="E14" s="5">
        <v>110</v>
      </c>
    </row>
    <row r="15" spans="1:5" x14ac:dyDescent="0.3">
      <c r="A15" s="5"/>
      <c r="B15" s="5"/>
      <c r="C15" s="5"/>
      <c r="D15" s="5"/>
      <c r="E15" s="5"/>
    </row>
    <row r="16" spans="1:5" x14ac:dyDescent="0.3">
      <c r="A16" s="4" t="s">
        <v>16</v>
      </c>
      <c r="B16" s="4" t="s">
        <v>17</v>
      </c>
      <c r="C16" s="4" t="s">
        <v>18</v>
      </c>
    </row>
    <row r="17" spans="1:5" x14ac:dyDescent="0.3">
      <c r="A17" s="4" t="s">
        <v>19</v>
      </c>
      <c r="B17" s="6">
        <v>0.1</v>
      </c>
      <c r="C17" s="5">
        <v>100</v>
      </c>
    </row>
    <row r="18" spans="1:5" x14ac:dyDescent="0.3">
      <c r="A18" s="4" t="s">
        <v>20</v>
      </c>
      <c r="B18" s="6">
        <v>0.1</v>
      </c>
      <c r="C18" s="5">
        <v>100</v>
      </c>
    </row>
    <row r="19" spans="1:5" x14ac:dyDescent="0.3">
      <c r="A19" s="4" t="s">
        <v>21</v>
      </c>
      <c r="B19" s="6">
        <v>0.3</v>
      </c>
      <c r="C19" s="5">
        <v>300</v>
      </c>
    </row>
    <row r="20" spans="1:5" x14ac:dyDescent="0.3">
      <c r="A20" s="4" t="s">
        <v>22</v>
      </c>
      <c r="B20" s="6">
        <v>0.3</v>
      </c>
      <c r="C20" s="5">
        <v>300</v>
      </c>
    </row>
    <row r="23" spans="1:5" x14ac:dyDescent="0.3">
      <c r="A23" s="13" t="s">
        <v>3</v>
      </c>
      <c r="B23" s="13"/>
      <c r="C23" s="13"/>
      <c r="D23" s="13"/>
      <c r="E23" s="13"/>
    </row>
    <row r="24" spans="1:5" x14ac:dyDescent="0.3">
      <c r="A24" s="4" t="s">
        <v>4</v>
      </c>
      <c r="B24" s="14" t="s">
        <v>23</v>
      </c>
      <c r="C24" s="14"/>
      <c r="D24" s="14"/>
      <c r="E24" s="14"/>
    </row>
    <row r="25" spans="1:5" x14ac:dyDescent="0.3">
      <c r="A25" s="4" t="s">
        <v>6</v>
      </c>
      <c r="B25" s="14"/>
      <c r="C25" s="14"/>
      <c r="D25" s="14"/>
      <c r="E25" s="14"/>
    </row>
    <row r="26" spans="1:5" x14ac:dyDescent="0.3">
      <c r="A26" s="4" t="s">
        <v>7</v>
      </c>
      <c r="B26" s="14"/>
      <c r="C26" s="14"/>
      <c r="D26" s="14"/>
      <c r="E26" s="14"/>
    </row>
    <row r="27" spans="1:5" x14ac:dyDescent="0.3">
      <c r="A27" s="4" t="s">
        <v>8</v>
      </c>
      <c r="B27" s="15"/>
      <c r="C27" s="15"/>
      <c r="D27" s="15"/>
      <c r="E27" s="15"/>
    </row>
    <row r="28" spans="1:5" x14ac:dyDescent="0.3">
      <c r="A28" s="4" t="s">
        <v>9</v>
      </c>
      <c r="B28" s="14"/>
      <c r="C28" s="14"/>
      <c r="D28" s="14"/>
      <c r="E28" s="14"/>
    </row>
    <row r="29" spans="1:5" x14ac:dyDescent="0.3">
      <c r="A29" s="4" t="s">
        <v>10</v>
      </c>
      <c r="B29" s="15"/>
      <c r="C29" s="15"/>
      <c r="D29" s="15"/>
      <c r="E29" s="15"/>
    </row>
    <row r="30" spans="1:5" x14ac:dyDescent="0.3">
      <c r="A30" s="4" t="s">
        <v>11</v>
      </c>
      <c r="B30" s="4" t="s">
        <v>12</v>
      </c>
      <c r="C30" s="4" t="s">
        <v>13</v>
      </c>
      <c r="D30" s="4" t="s">
        <v>14</v>
      </c>
      <c r="E30" s="4" t="s">
        <v>15</v>
      </c>
    </row>
    <row r="31" spans="1:5" x14ac:dyDescent="0.3">
      <c r="A31" s="5">
        <v>15</v>
      </c>
      <c r="B31" s="5">
        <v>1200</v>
      </c>
      <c r="C31" s="5">
        <v>180</v>
      </c>
      <c r="D31" s="5">
        <v>65</v>
      </c>
      <c r="E31" s="5">
        <v>110</v>
      </c>
    </row>
    <row r="32" spans="1:5" x14ac:dyDescent="0.3">
      <c r="A32" s="5">
        <v>15</v>
      </c>
      <c r="B32" s="5">
        <v>1500</v>
      </c>
      <c r="C32" s="5">
        <v>240</v>
      </c>
      <c r="D32" s="5">
        <v>65</v>
      </c>
      <c r="E32" s="5">
        <v>110</v>
      </c>
    </row>
    <row r="33" spans="1:5" x14ac:dyDescent="0.3">
      <c r="A33" s="5"/>
      <c r="B33" s="5"/>
      <c r="C33" s="5"/>
      <c r="D33" s="5"/>
      <c r="E33" s="5"/>
    </row>
    <row r="34" spans="1:5" x14ac:dyDescent="0.3">
      <c r="A34" s="4" t="s">
        <v>16</v>
      </c>
      <c r="B34" s="4" t="s">
        <v>17</v>
      </c>
      <c r="C34" s="4" t="s">
        <v>18</v>
      </c>
    </row>
    <row r="35" spans="1:5" x14ac:dyDescent="0.3">
      <c r="A35" s="4" t="s">
        <v>24</v>
      </c>
      <c r="B35" s="6">
        <v>0.2</v>
      </c>
      <c r="C35" s="5">
        <v>200</v>
      </c>
    </row>
    <row r="36" spans="1:5" x14ac:dyDescent="0.3">
      <c r="A36" s="4" t="s">
        <v>25</v>
      </c>
      <c r="B36" s="6">
        <v>0.2</v>
      </c>
      <c r="C36" s="5">
        <v>200</v>
      </c>
    </row>
  </sheetData>
  <mergeCells count="14">
    <mergeCell ref="B26:E26"/>
    <mergeCell ref="B27:E27"/>
    <mergeCell ref="B28:E28"/>
    <mergeCell ref="B29:E29"/>
    <mergeCell ref="B10:E10"/>
    <mergeCell ref="B11:E11"/>
    <mergeCell ref="A23:E23"/>
    <mergeCell ref="B24:E24"/>
    <mergeCell ref="B25:E25"/>
    <mergeCell ref="A5:E5"/>
    <mergeCell ref="B6:E6"/>
    <mergeCell ref="B7:E7"/>
    <mergeCell ref="B8:E8"/>
    <mergeCell ref="B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selection activeCell="G6" sqref="G6:M24"/>
    </sheetView>
  </sheetViews>
  <sheetFormatPr defaultRowHeight="14.4" x14ac:dyDescent="0.3"/>
  <cols>
    <col min="1" max="1" width="14.44140625" bestFit="1" customWidth="1"/>
    <col min="2" max="2" width="10.6640625" bestFit="1" customWidth="1"/>
    <col min="3" max="3" width="12.6640625" customWidth="1"/>
    <col min="4" max="4" width="8.109375" bestFit="1" customWidth="1"/>
    <col min="5" max="5" width="4.6640625" bestFit="1" customWidth="1"/>
    <col min="6" max="6" width="17.77734375" customWidth="1"/>
  </cols>
  <sheetData>
    <row r="1" spans="1:13" x14ac:dyDescent="0.3">
      <c r="A1" s="1" t="s">
        <v>0</v>
      </c>
      <c r="B1" s="2">
        <v>46163</v>
      </c>
    </row>
    <row r="2" spans="1:13" x14ac:dyDescent="0.3">
      <c r="A2" s="1" t="s">
        <v>1</v>
      </c>
      <c r="B2" s="3" t="s">
        <v>2</v>
      </c>
    </row>
    <row r="5" spans="1:13" x14ac:dyDescent="0.3">
      <c r="A5" s="16" t="s">
        <v>26</v>
      </c>
      <c r="B5" s="16"/>
    </row>
    <row r="6" spans="1:13" x14ac:dyDescent="0.3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G6" s="20"/>
      <c r="H6" s="20"/>
      <c r="I6" s="20"/>
      <c r="J6" s="20"/>
      <c r="K6" s="20"/>
      <c r="L6" s="20"/>
      <c r="M6" s="20"/>
    </row>
    <row r="7" spans="1:13" x14ac:dyDescent="0.3">
      <c r="A7" s="4" t="s">
        <v>19</v>
      </c>
      <c r="B7" s="5" t="str">
        <f>"1/1"</f>
        <v>1/1</v>
      </c>
      <c r="C7" s="7"/>
      <c r="D7" s="8">
        <f>((C7)*(H7)*(I7))/(G7*1)</f>
        <v>0</v>
      </c>
      <c r="E7" s="8">
        <f>D7/10000</f>
        <v>0</v>
      </c>
      <c r="G7" s="20">
        <f>digestion_page!B17</f>
        <v>0.1</v>
      </c>
      <c r="H7" s="20">
        <f>digestion_page!C17</f>
        <v>100</v>
      </c>
      <c r="I7" s="20">
        <f>(LEFT(B7,FIND("/",B7)-1)/RIGHT(B7,LEN(B7)-FIND("/", B7)))</f>
        <v>1</v>
      </c>
      <c r="J7" s="20"/>
      <c r="K7" s="20"/>
      <c r="L7" s="20"/>
      <c r="M7" s="20"/>
    </row>
    <row r="8" spans="1:13" x14ac:dyDescent="0.3">
      <c r="A8" s="4" t="s">
        <v>20</v>
      </c>
      <c r="B8" s="5" t="str">
        <f>"1/1"</f>
        <v>1/1</v>
      </c>
      <c r="C8" s="7"/>
      <c r="D8" s="8">
        <f>((C8)*(H8)*(I8))/(G8*1)</f>
        <v>0</v>
      </c>
      <c r="E8" s="8">
        <f>D8/10000</f>
        <v>0</v>
      </c>
      <c r="G8" s="20">
        <f>digestion_page!B18</f>
        <v>0.1</v>
      </c>
      <c r="H8" s="20">
        <f>digestion_page!C18</f>
        <v>100</v>
      </c>
      <c r="I8" s="20">
        <f>(LEFT(B8,FIND("/",B8)-1)/RIGHT(B8,LEN(B8)-FIND("/", B8)))</f>
        <v>1</v>
      </c>
      <c r="J8" s="20"/>
      <c r="K8" s="20"/>
      <c r="L8" s="20"/>
      <c r="M8" s="20"/>
    </row>
    <row r="9" spans="1:13" x14ac:dyDescent="0.3">
      <c r="G9" s="20"/>
      <c r="H9" s="20"/>
      <c r="I9" s="20"/>
      <c r="J9" s="20"/>
      <c r="K9" s="20"/>
      <c r="L9" s="20"/>
      <c r="M9" s="20"/>
    </row>
    <row r="10" spans="1:13" x14ac:dyDescent="0.3">
      <c r="A10" s="17" t="s">
        <v>32</v>
      </c>
      <c r="B10" s="17"/>
      <c r="C10" s="10">
        <f>AVERAGE(D7:D8)</f>
        <v>0</v>
      </c>
      <c r="G10" s="20"/>
      <c r="H10" s="20"/>
      <c r="I10" s="20"/>
      <c r="J10" s="20"/>
      <c r="K10" s="20"/>
      <c r="L10" s="20"/>
      <c r="M10" s="20"/>
    </row>
    <row r="11" spans="1:13" x14ac:dyDescent="0.3">
      <c r="A11" s="17" t="s">
        <v>32</v>
      </c>
      <c r="B11" s="17"/>
      <c r="C11" s="11">
        <f>AVERAGE(E7:E8)</f>
        <v>0</v>
      </c>
      <c r="G11" s="20"/>
      <c r="H11" s="20"/>
      <c r="I11" s="20"/>
      <c r="J11" s="20"/>
      <c r="K11" s="20"/>
      <c r="L11" s="20"/>
      <c r="M11" s="20"/>
    </row>
    <row r="12" spans="1:13" x14ac:dyDescent="0.3">
      <c r="A12" s="17" t="s">
        <v>33</v>
      </c>
      <c r="B12" s="17"/>
      <c r="C12" s="3"/>
      <c r="G12" s="20"/>
      <c r="H12" s="20"/>
      <c r="I12" s="20"/>
      <c r="J12" s="20"/>
      <c r="K12" s="20"/>
      <c r="L12" s="20"/>
      <c r="M12" s="20"/>
    </row>
    <row r="13" spans="1:13" x14ac:dyDescent="0.3">
      <c r="A13" s="17" t="s">
        <v>34</v>
      </c>
      <c r="B13" s="17"/>
      <c r="C13" s="11">
        <f>AVERAGE(E7:E8)*(C12)</f>
        <v>0</v>
      </c>
      <c r="G13" s="20"/>
      <c r="H13" s="20"/>
      <c r="I13" s="20"/>
      <c r="J13" s="20"/>
      <c r="K13" s="20"/>
      <c r="L13" s="20"/>
      <c r="M13" s="20"/>
    </row>
    <row r="14" spans="1:13" x14ac:dyDescent="0.3">
      <c r="A14" s="17" t="s">
        <v>35</v>
      </c>
      <c r="B14" s="17"/>
      <c r="C14" s="18" t="s">
        <v>36</v>
      </c>
      <c r="D14" s="18"/>
      <c r="E14" s="18"/>
      <c r="F14" s="18"/>
      <c r="G14" s="20"/>
      <c r="H14" s="20"/>
      <c r="I14" s="20"/>
      <c r="J14" s="20"/>
      <c r="K14" s="20"/>
      <c r="L14" s="20"/>
      <c r="M14" s="20"/>
    </row>
    <row r="15" spans="1:13" x14ac:dyDescent="0.3">
      <c r="G15" s="20"/>
      <c r="H15" s="20"/>
      <c r="I15" s="20"/>
      <c r="J15" s="20"/>
      <c r="K15" s="20"/>
      <c r="L15" s="20"/>
      <c r="M15" s="20"/>
    </row>
    <row r="16" spans="1:13" x14ac:dyDescent="0.3">
      <c r="B16" s="9" t="s">
        <v>37</v>
      </c>
      <c r="C16" s="19"/>
      <c r="D16" s="19"/>
      <c r="E16" s="19"/>
      <c r="F16" s="19"/>
      <c r="G16" s="20"/>
      <c r="H16" s="20"/>
      <c r="I16" s="20"/>
      <c r="J16" s="20"/>
      <c r="K16" s="20"/>
      <c r="L16" s="20"/>
      <c r="M16" s="20"/>
    </row>
    <row r="17" spans="3:13" x14ac:dyDescent="0.3">
      <c r="C17" s="19"/>
      <c r="D17" s="19"/>
      <c r="E17" s="19"/>
      <c r="F17" s="19"/>
      <c r="G17" s="20"/>
      <c r="H17" s="20"/>
      <c r="I17" s="20"/>
      <c r="J17" s="20"/>
      <c r="K17" s="20"/>
      <c r="L17" s="20"/>
      <c r="M17" s="20"/>
    </row>
    <row r="18" spans="3:13" x14ac:dyDescent="0.3">
      <c r="C18" s="19"/>
      <c r="D18" s="19"/>
      <c r="E18" s="19"/>
      <c r="F18" s="19"/>
      <c r="G18" s="20"/>
      <c r="H18" s="20"/>
      <c r="I18" s="20"/>
      <c r="J18" s="20"/>
      <c r="K18" s="20"/>
      <c r="L18" s="20"/>
      <c r="M18" s="20"/>
    </row>
    <row r="19" spans="3:13" x14ac:dyDescent="0.3">
      <c r="G19" s="20"/>
      <c r="H19" s="20"/>
      <c r="I19" s="20"/>
      <c r="J19" s="20"/>
      <c r="K19" s="20"/>
      <c r="L19" s="20"/>
      <c r="M19" s="20"/>
    </row>
    <row r="20" spans="3:13" x14ac:dyDescent="0.3">
      <c r="G20" s="20"/>
      <c r="H20" s="20"/>
      <c r="I20" s="20"/>
      <c r="J20" s="20"/>
      <c r="K20" s="20"/>
      <c r="L20" s="20"/>
      <c r="M20" s="20"/>
    </row>
    <row r="21" spans="3:13" x14ac:dyDescent="0.3">
      <c r="G21" s="20"/>
      <c r="H21" s="20"/>
      <c r="I21" s="20"/>
      <c r="J21" s="20"/>
      <c r="K21" s="20"/>
      <c r="L21" s="20"/>
      <c r="M21" s="20"/>
    </row>
    <row r="22" spans="3:13" x14ac:dyDescent="0.3">
      <c r="G22" s="20"/>
      <c r="H22" s="20"/>
      <c r="I22" s="20"/>
      <c r="J22" s="20"/>
      <c r="K22" s="20"/>
      <c r="L22" s="20"/>
      <c r="M22" s="20"/>
    </row>
    <row r="23" spans="3:13" x14ac:dyDescent="0.3">
      <c r="G23" s="20"/>
      <c r="H23" s="20"/>
      <c r="I23" s="20"/>
      <c r="J23" s="20"/>
      <c r="K23" s="20"/>
      <c r="L23" s="20"/>
      <c r="M23" s="20"/>
    </row>
    <row r="24" spans="3:13" x14ac:dyDescent="0.3">
      <c r="G24" s="20"/>
      <c r="H24" s="20"/>
      <c r="I24" s="20"/>
      <c r="J24" s="20"/>
      <c r="K24" s="20"/>
      <c r="L24" s="20"/>
      <c r="M24" s="20"/>
    </row>
  </sheetData>
  <mergeCells count="8">
    <mergeCell ref="A14:B14"/>
    <mergeCell ref="C14:F14"/>
    <mergeCell ref="C16:F18"/>
    <mergeCell ref="A5:B5"/>
    <mergeCell ref="A10:B10"/>
    <mergeCell ref="A11:B11"/>
    <mergeCell ref="A12:B12"/>
    <mergeCell ref="A13:B13"/>
  </mergeCells>
  <conditionalFormatting sqref="C14:F14">
    <cfRule type="containsBlanks" dxfId="2" priority="1">
      <formula>LEN(TRIM(C14))=0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workbookViewId="0">
      <selection activeCell="H25" sqref="H25"/>
    </sheetView>
  </sheetViews>
  <sheetFormatPr defaultRowHeight="14.4" x14ac:dyDescent="0.3"/>
  <cols>
    <col min="1" max="1" width="13.5546875" bestFit="1" customWidth="1"/>
    <col min="2" max="2" width="10.6640625" bestFit="1" customWidth="1"/>
    <col min="3" max="3" width="12.6640625" customWidth="1"/>
    <col min="4" max="4" width="7" bestFit="1" customWidth="1"/>
    <col min="5" max="5" width="4.5546875" bestFit="1" customWidth="1"/>
  </cols>
  <sheetData>
    <row r="1" spans="1:12" x14ac:dyDescent="0.3">
      <c r="A1" s="1" t="s">
        <v>0</v>
      </c>
      <c r="B1" s="2">
        <v>46163</v>
      </c>
    </row>
    <row r="2" spans="1:12" x14ac:dyDescent="0.3">
      <c r="A2" s="1" t="s">
        <v>1</v>
      </c>
      <c r="B2" s="3" t="s">
        <v>2</v>
      </c>
    </row>
    <row r="5" spans="1:12" x14ac:dyDescent="0.3">
      <c r="A5" s="16" t="s">
        <v>38</v>
      </c>
      <c r="B5" s="16"/>
    </row>
    <row r="6" spans="1:12" x14ac:dyDescent="0.3">
      <c r="A6" s="4" t="s">
        <v>27</v>
      </c>
      <c r="B6" s="4" t="s">
        <v>28</v>
      </c>
      <c r="C6" s="4" t="s">
        <v>29</v>
      </c>
      <c r="D6" s="4" t="s">
        <v>39</v>
      </c>
      <c r="E6" s="4" t="s">
        <v>40</v>
      </c>
      <c r="G6" s="20"/>
      <c r="H6" s="20"/>
      <c r="I6" s="20"/>
      <c r="J6" s="20"/>
      <c r="K6" s="20"/>
      <c r="L6" s="20"/>
    </row>
    <row r="7" spans="1:12" x14ac:dyDescent="0.3">
      <c r="A7" s="4" t="s">
        <v>24</v>
      </c>
      <c r="B7" s="5" t="str">
        <f>"1/1"</f>
        <v>1/1</v>
      </c>
      <c r="C7" s="7"/>
      <c r="D7" s="8">
        <f>((C7)*(H7)*(I7))/(G7*1)</f>
        <v>0</v>
      </c>
      <c r="E7" s="8">
        <f>D7/10000</f>
        <v>0</v>
      </c>
      <c r="G7" s="20">
        <f>digestion_page!B35</f>
        <v>0.2</v>
      </c>
      <c r="H7" s="20">
        <f>digestion_page!C35</f>
        <v>200</v>
      </c>
      <c r="I7" s="20">
        <f>(LEFT(B7,FIND("/",B7)-1)/RIGHT(B7,LEN(B7)-FIND("/", B7)))</f>
        <v>1</v>
      </c>
      <c r="J7" s="20"/>
      <c r="K7" s="20"/>
      <c r="L7" s="20"/>
    </row>
    <row r="8" spans="1:12" x14ac:dyDescent="0.3">
      <c r="A8" s="4" t="s">
        <v>25</v>
      </c>
      <c r="B8" s="5" t="str">
        <f>"1/1"</f>
        <v>1/1</v>
      </c>
      <c r="C8" s="7"/>
      <c r="D8" s="8">
        <f>((C8)*(H8)*(I8))/(G8*1)</f>
        <v>0</v>
      </c>
      <c r="E8" s="8">
        <f>D8/10000</f>
        <v>0</v>
      </c>
      <c r="G8" s="20">
        <f>digestion_page!B36</f>
        <v>0.2</v>
      </c>
      <c r="H8" s="20">
        <f>digestion_page!C36</f>
        <v>200</v>
      </c>
      <c r="I8" s="20">
        <f>(LEFT(B8,FIND("/",B8)-1)/RIGHT(B8,LEN(B8)-FIND("/", B8)))</f>
        <v>1</v>
      </c>
      <c r="J8" s="20"/>
      <c r="K8" s="20"/>
      <c r="L8" s="20"/>
    </row>
    <row r="9" spans="1:12" x14ac:dyDescent="0.3">
      <c r="G9" s="20"/>
      <c r="H9" s="20"/>
      <c r="I9" s="20"/>
      <c r="J9" s="20"/>
      <c r="K9" s="20"/>
      <c r="L9" s="20"/>
    </row>
    <row r="10" spans="1:12" x14ac:dyDescent="0.3">
      <c r="A10" s="17" t="s">
        <v>41</v>
      </c>
      <c r="B10" s="17"/>
      <c r="C10" s="10">
        <f>AVERAGE(D7:D8)</f>
        <v>0</v>
      </c>
      <c r="G10" s="20"/>
      <c r="H10" s="20"/>
      <c r="I10" s="20"/>
      <c r="J10" s="20"/>
      <c r="K10" s="20"/>
      <c r="L10" s="20"/>
    </row>
    <row r="11" spans="1:12" x14ac:dyDescent="0.3">
      <c r="A11" s="17" t="s">
        <v>41</v>
      </c>
      <c r="B11" s="17"/>
      <c r="C11" s="11">
        <f>AVERAGE(E7:E8)</f>
        <v>0</v>
      </c>
      <c r="G11" s="20"/>
      <c r="H11" s="20"/>
      <c r="I11" s="20"/>
      <c r="J11" s="20"/>
      <c r="K11" s="20"/>
      <c r="L11" s="20"/>
    </row>
    <row r="12" spans="1:12" x14ac:dyDescent="0.3">
      <c r="A12" s="17" t="s">
        <v>42</v>
      </c>
      <c r="B12" s="17"/>
      <c r="C12" s="3"/>
      <c r="G12" s="20"/>
      <c r="H12" s="20"/>
      <c r="I12" s="20"/>
      <c r="J12" s="20"/>
      <c r="K12" s="20"/>
      <c r="L12" s="20"/>
    </row>
    <row r="13" spans="1:12" x14ac:dyDescent="0.3">
      <c r="A13" s="17" t="s">
        <v>43</v>
      </c>
      <c r="B13" s="17"/>
      <c r="C13" s="11">
        <f>AVERAGE(E7:E8)*(C12)</f>
        <v>0</v>
      </c>
      <c r="G13" s="20"/>
      <c r="H13" s="20"/>
      <c r="I13" s="20"/>
      <c r="J13" s="20"/>
      <c r="K13" s="20"/>
      <c r="L13" s="20"/>
    </row>
    <row r="14" spans="1:12" x14ac:dyDescent="0.3">
      <c r="A14" s="17" t="s">
        <v>44</v>
      </c>
      <c r="B14" s="17"/>
      <c r="C14" s="18"/>
      <c r="D14" s="18"/>
      <c r="E14" s="18"/>
      <c r="F14" s="18"/>
      <c r="G14" s="20"/>
      <c r="H14" s="20"/>
      <c r="I14" s="20"/>
      <c r="J14" s="20"/>
      <c r="K14" s="20"/>
      <c r="L14" s="20"/>
    </row>
    <row r="15" spans="1:12" x14ac:dyDescent="0.3">
      <c r="G15" s="20"/>
      <c r="H15" s="20"/>
      <c r="I15" s="20"/>
      <c r="J15" s="20"/>
      <c r="K15" s="20"/>
      <c r="L15" s="20"/>
    </row>
    <row r="16" spans="1:12" x14ac:dyDescent="0.3">
      <c r="B16" s="9" t="s">
        <v>37</v>
      </c>
      <c r="C16" s="19"/>
      <c r="D16" s="19"/>
      <c r="E16" s="19"/>
      <c r="F16" s="19"/>
      <c r="G16" s="20"/>
      <c r="H16" s="20"/>
      <c r="I16" s="20"/>
      <c r="J16" s="20"/>
      <c r="K16" s="20"/>
      <c r="L16" s="20"/>
    </row>
    <row r="17" spans="3:12" x14ac:dyDescent="0.3">
      <c r="C17" s="19"/>
      <c r="D17" s="19"/>
      <c r="E17" s="19"/>
      <c r="F17" s="19"/>
      <c r="G17" s="20"/>
      <c r="H17" s="20"/>
      <c r="I17" s="20"/>
      <c r="J17" s="20"/>
      <c r="K17" s="20"/>
      <c r="L17" s="20"/>
    </row>
    <row r="18" spans="3:12" x14ac:dyDescent="0.3">
      <c r="C18" s="19"/>
      <c r="D18" s="19"/>
      <c r="E18" s="19"/>
      <c r="F18" s="19"/>
      <c r="G18" s="20"/>
      <c r="H18" s="20"/>
      <c r="I18" s="20"/>
      <c r="J18" s="20"/>
      <c r="K18" s="20"/>
      <c r="L18" s="20"/>
    </row>
    <row r="19" spans="3:12" x14ac:dyDescent="0.3">
      <c r="G19" s="20"/>
      <c r="H19" s="20"/>
      <c r="I19" s="20"/>
      <c r="J19" s="20"/>
      <c r="K19" s="20"/>
      <c r="L19" s="20"/>
    </row>
    <row r="20" spans="3:12" x14ac:dyDescent="0.3">
      <c r="G20" s="20"/>
      <c r="H20" s="20"/>
      <c r="I20" s="20"/>
      <c r="J20" s="20"/>
      <c r="K20" s="20"/>
      <c r="L20" s="20"/>
    </row>
    <row r="21" spans="3:12" x14ac:dyDescent="0.3">
      <c r="G21" s="20"/>
      <c r="H21" s="20"/>
      <c r="I21" s="20"/>
      <c r="J21" s="20"/>
      <c r="K21" s="20"/>
      <c r="L21" s="20"/>
    </row>
    <row r="22" spans="3:12" x14ac:dyDescent="0.3">
      <c r="G22" s="20"/>
      <c r="H22" s="20"/>
      <c r="I22" s="20"/>
      <c r="J22" s="20"/>
      <c r="K22" s="20"/>
      <c r="L22" s="20"/>
    </row>
    <row r="23" spans="3:12" x14ac:dyDescent="0.3">
      <c r="G23" s="20"/>
      <c r="H23" s="20"/>
      <c r="I23" s="20"/>
      <c r="J23" s="20"/>
      <c r="K23" s="20"/>
      <c r="L23" s="20"/>
    </row>
  </sheetData>
  <mergeCells count="8">
    <mergeCell ref="A14:B14"/>
    <mergeCell ref="C14:F14"/>
    <mergeCell ref="C16:F18"/>
    <mergeCell ref="A5:B5"/>
    <mergeCell ref="A10:B10"/>
    <mergeCell ref="A11:B11"/>
    <mergeCell ref="A12:B12"/>
    <mergeCell ref="A13:B13"/>
  </mergeCells>
  <conditionalFormatting sqref="C14:F14">
    <cfRule type="containsBlanks" dxfId="1" priority="1">
      <formula>LEN(TRIM(C14))=0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tabSelected="1" workbookViewId="0">
      <selection activeCell="O13" sqref="O13"/>
    </sheetView>
  </sheetViews>
  <sheetFormatPr defaultRowHeight="14.4" x14ac:dyDescent="0.3"/>
  <cols>
    <col min="1" max="1" width="14.44140625" bestFit="1" customWidth="1"/>
    <col min="2" max="2" width="10.6640625" bestFit="1" customWidth="1"/>
    <col min="3" max="3" width="12.6640625" customWidth="1"/>
    <col min="4" max="4" width="8.109375" bestFit="1" customWidth="1"/>
    <col min="5" max="5" width="4.6640625" bestFit="1" customWidth="1"/>
    <col min="6" max="6" width="17.6640625" customWidth="1"/>
  </cols>
  <sheetData>
    <row r="1" spans="1:11" x14ac:dyDescent="0.3">
      <c r="A1" s="1" t="s">
        <v>0</v>
      </c>
      <c r="B1" s="2">
        <v>46163</v>
      </c>
    </row>
    <row r="2" spans="1:11" x14ac:dyDescent="0.3">
      <c r="A2" s="1" t="s">
        <v>1</v>
      </c>
      <c r="B2" s="3" t="s">
        <v>2</v>
      </c>
    </row>
    <row r="5" spans="1:11" x14ac:dyDescent="0.3">
      <c r="A5" s="16" t="s">
        <v>26</v>
      </c>
      <c r="B5" s="16"/>
    </row>
    <row r="6" spans="1:11" x14ac:dyDescent="0.3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</row>
    <row r="7" spans="1:11" x14ac:dyDescent="0.3">
      <c r="A7" s="4" t="s">
        <v>21</v>
      </c>
      <c r="B7" s="5" t="str">
        <f>"1/1"</f>
        <v>1/1</v>
      </c>
      <c r="C7" s="7"/>
      <c r="D7" s="8">
        <f>((C7)*(H7)*(I7))/(G7*1)</f>
        <v>0</v>
      </c>
      <c r="E7" s="8">
        <f>D7/10000</f>
        <v>0</v>
      </c>
      <c r="G7" s="20">
        <f>digestion_page!B19</f>
        <v>0.3</v>
      </c>
      <c r="H7" s="20">
        <f>digestion_page!C19</f>
        <v>300</v>
      </c>
      <c r="I7" s="20">
        <f>(LEFT(B7,FIND("/",B7)-1)/RIGHT(B7,LEN(B7)-FIND("/", B7)))</f>
        <v>1</v>
      </c>
      <c r="J7" s="20"/>
      <c r="K7" s="20"/>
    </row>
    <row r="8" spans="1:11" x14ac:dyDescent="0.3">
      <c r="A8" s="4" t="s">
        <v>22</v>
      </c>
      <c r="B8" s="5" t="str">
        <f>"1/1"</f>
        <v>1/1</v>
      </c>
      <c r="C8" s="7"/>
      <c r="D8" s="8">
        <f>((C8)*(H8)*(I8))/(G8*1)</f>
        <v>0</v>
      </c>
      <c r="E8" s="8">
        <f>D8/10000</f>
        <v>0</v>
      </c>
      <c r="G8" s="20">
        <f>digestion_page!B20</f>
        <v>0.3</v>
      </c>
      <c r="H8" s="20">
        <f>digestion_page!C20</f>
        <v>300</v>
      </c>
      <c r="I8" s="20">
        <f>(LEFT(B8,FIND("/",B8)-1)/RIGHT(B8,LEN(B8)-FIND("/", B8)))</f>
        <v>1</v>
      </c>
      <c r="J8" s="20"/>
      <c r="K8" s="20"/>
    </row>
    <row r="9" spans="1:11" x14ac:dyDescent="0.3">
      <c r="G9" s="20"/>
      <c r="H9" s="20"/>
      <c r="I9" s="20"/>
      <c r="J9" s="20"/>
      <c r="K9" s="20"/>
    </row>
    <row r="10" spans="1:11" x14ac:dyDescent="0.3">
      <c r="A10" s="17" t="s">
        <v>32</v>
      </c>
      <c r="B10" s="17"/>
      <c r="C10" s="10">
        <f>AVERAGE(D7:D8)</f>
        <v>0</v>
      </c>
      <c r="G10" s="20"/>
      <c r="H10" s="20"/>
      <c r="I10" s="20"/>
      <c r="J10" s="20"/>
      <c r="K10" s="20"/>
    </row>
    <row r="11" spans="1:11" x14ac:dyDescent="0.3">
      <c r="A11" s="17" t="s">
        <v>32</v>
      </c>
      <c r="B11" s="17"/>
      <c r="C11" s="11">
        <f>AVERAGE(E7:E8)</f>
        <v>0</v>
      </c>
      <c r="G11" s="20"/>
      <c r="H11" s="20"/>
      <c r="I11" s="20"/>
      <c r="J11" s="20"/>
      <c r="K11" s="20"/>
    </row>
    <row r="12" spans="1:11" x14ac:dyDescent="0.3">
      <c r="A12" s="17" t="s">
        <v>33</v>
      </c>
      <c r="B12" s="17"/>
      <c r="C12" s="3"/>
      <c r="G12" s="20"/>
      <c r="H12" s="20"/>
      <c r="I12" s="20"/>
      <c r="J12" s="20"/>
      <c r="K12" s="20"/>
    </row>
    <row r="13" spans="1:11" x14ac:dyDescent="0.3">
      <c r="A13" s="17" t="s">
        <v>34</v>
      </c>
      <c r="B13" s="17"/>
      <c r="C13" s="11">
        <f>AVERAGE(E7:E8)*(C12)</f>
        <v>0</v>
      </c>
      <c r="G13" s="20"/>
      <c r="H13" s="20"/>
      <c r="I13" s="20"/>
      <c r="J13" s="20"/>
      <c r="K13" s="20"/>
    </row>
    <row r="14" spans="1:11" x14ac:dyDescent="0.3">
      <c r="A14" s="17" t="s">
        <v>35</v>
      </c>
      <c r="B14" s="17"/>
      <c r="C14" s="18" t="s">
        <v>36</v>
      </c>
      <c r="D14" s="18"/>
      <c r="E14" s="18"/>
      <c r="F14" s="18"/>
      <c r="G14" s="20"/>
      <c r="H14" s="20"/>
      <c r="I14" s="20"/>
      <c r="J14" s="20"/>
      <c r="K14" s="20"/>
    </row>
    <row r="15" spans="1:11" x14ac:dyDescent="0.3">
      <c r="G15" s="20"/>
      <c r="H15" s="20"/>
      <c r="I15" s="20"/>
      <c r="J15" s="20"/>
      <c r="K15" s="20"/>
    </row>
    <row r="16" spans="1:11" x14ac:dyDescent="0.3">
      <c r="B16" s="9" t="s">
        <v>37</v>
      </c>
      <c r="C16" s="19"/>
      <c r="D16" s="19"/>
      <c r="E16" s="19"/>
      <c r="F16" s="19"/>
      <c r="G16" s="20"/>
      <c r="H16" s="20"/>
      <c r="I16" s="20"/>
      <c r="J16" s="20"/>
      <c r="K16" s="20"/>
    </row>
    <row r="17" spans="3:11" x14ac:dyDescent="0.3">
      <c r="C17" s="19"/>
      <c r="D17" s="19"/>
      <c r="E17" s="19"/>
      <c r="F17" s="19"/>
      <c r="G17" s="20"/>
      <c r="H17" s="20"/>
      <c r="I17" s="20"/>
      <c r="J17" s="20"/>
      <c r="K17" s="20"/>
    </row>
    <row r="18" spans="3:11" x14ac:dyDescent="0.3">
      <c r="C18" s="19"/>
      <c r="D18" s="19"/>
      <c r="E18" s="19"/>
      <c r="F18" s="19"/>
      <c r="G18" s="20"/>
      <c r="H18" s="20"/>
      <c r="I18" s="20"/>
      <c r="J18" s="20"/>
      <c r="K18" s="20"/>
    </row>
    <row r="19" spans="3:11" x14ac:dyDescent="0.3">
      <c r="G19" s="20"/>
      <c r="H19" s="20"/>
      <c r="I19" s="20"/>
      <c r="J19" s="20"/>
      <c r="K19" s="20"/>
    </row>
    <row r="20" spans="3:11" x14ac:dyDescent="0.3">
      <c r="G20" s="20"/>
      <c r="H20" s="20"/>
      <c r="I20" s="20"/>
      <c r="J20" s="20"/>
      <c r="K20" s="20"/>
    </row>
    <row r="21" spans="3:11" x14ac:dyDescent="0.3">
      <c r="G21" s="20"/>
      <c r="H21" s="20"/>
      <c r="I21" s="20"/>
      <c r="J21" s="20"/>
      <c r="K21" s="20"/>
    </row>
    <row r="22" spans="3:11" x14ac:dyDescent="0.3">
      <c r="G22" s="20"/>
      <c r="H22" s="20"/>
      <c r="I22" s="20"/>
      <c r="J22" s="20"/>
      <c r="K22" s="20"/>
    </row>
    <row r="23" spans="3:11" x14ac:dyDescent="0.3">
      <c r="G23" s="20"/>
      <c r="H23" s="20"/>
      <c r="I23" s="20"/>
      <c r="J23" s="20"/>
      <c r="K23" s="20"/>
    </row>
    <row r="24" spans="3:11" x14ac:dyDescent="0.3">
      <c r="G24" s="20"/>
      <c r="H24" s="20"/>
      <c r="I24" s="20"/>
      <c r="J24" s="20"/>
      <c r="K24" s="20"/>
    </row>
  </sheetData>
  <mergeCells count="8">
    <mergeCell ref="A14:B14"/>
    <mergeCell ref="C14:F14"/>
    <mergeCell ref="C16:F18"/>
    <mergeCell ref="A5:B5"/>
    <mergeCell ref="A10:B10"/>
    <mergeCell ref="A11:B11"/>
    <mergeCell ref="A12:B12"/>
    <mergeCell ref="A13:B13"/>
  </mergeCells>
  <conditionalFormatting sqref="C14:F14">
    <cfRule type="containsBlanks" dxfId="0" priority="1">
      <formula>LEN(TRIM(C14))=0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3"/>
  <sheetViews>
    <sheetView workbookViewId="0"/>
  </sheetViews>
  <sheetFormatPr defaultRowHeight="14.4" x14ac:dyDescent="0.3"/>
  <cols>
    <col min="1" max="1" width="46.109375" bestFit="1" customWidth="1"/>
  </cols>
  <sheetData>
    <row r="1" spans="1:1" x14ac:dyDescent="0.3">
      <c r="A1" s="12" t="s">
        <v>45</v>
      </c>
    </row>
    <row r="2" spans="1:1" x14ac:dyDescent="0.3">
      <c r="A2" s="12" t="s">
        <v>46</v>
      </c>
    </row>
    <row r="3" spans="1:1" x14ac:dyDescent="0.3">
      <c r="A3" s="12" t="s">
        <v>47</v>
      </c>
    </row>
    <row r="5" spans="1:1" x14ac:dyDescent="0.3">
      <c r="A5" s="12" t="s">
        <v>48</v>
      </c>
    </row>
    <row r="7" spans="1:1" x14ac:dyDescent="0.3">
      <c r="A7" s="12" t="s">
        <v>49</v>
      </c>
    </row>
    <row r="9" spans="1:1" x14ac:dyDescent="0.3">
      <c r="A9" s="12" t="s">
        <v>50</v>
      </c>
    </row>
    <row r="11" spans="1:1" x14ac:dyDescent="0.3">
      <c r="A11" s="12" t="s">
        <v>51</v>
      </c>
    </row>
    <row r="13" spans="1:1" x14ac:dyDescent="0.3">
      <c r="A13" s="12" t="s">
        <v>52</v>
      </c>
    </row>
    <row r="15" spans="1:1" x14ac:dyDescent="0.3">
      <c r="A15" s="12" t="s">
        <v>53</v>
      </c>
    </row>
    <row r="17" spans="1:1" x14ac:dyDescent="0.3">
      <c r="A17" s="12" t="s">
        <v>54</v>
      </c>
    </row>
    <row r="19" spans="1:1" x14ac:dyDescent="0.3">
      <c r="A19" s="12" t="s">
        <v>55</v>
      </c>
    </row>
    <row r="21" spans="1:1" x14ac:dyDescent="0.3">
      <c r="A21" s="12" t="s">
        <v>56</v>
      </c>
    </row>
    <row r="23" spans="1:1" x14ac:dyDescent="0.3">
      <c r="A23" s="1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digestion_page</vt:lpstr>
      <vt:lpstr>200126511</vt:lpstr>
      <vt:lpstr>200126512</vt:lpstr>
      <vt:lpstr>200126513</vt:lpstr>
      <vt:lpstr>formula_page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Archemetre, Carl P.</cp:lastModifiedBy>
  <dcterms:created xsi:type="dcterms:W3CDTF">2026-05-21T21:18:35Z</dcterms:created>
  <dcterms:modified xsi:type="dcterms:W3CDTF">2026-05-21T21:20:45Z</dcterms:modified>
</cp:coreProperties>
</file>