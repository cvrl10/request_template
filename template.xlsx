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" sheetId="1" r:id="rId1"/>
    <sheet name="200127586" sheetId="2" r:id="rId2"/>
    <sheet name="200127587" sheetId="3" r:id="rId3"/>
    <sheet name="200127588" sheetId="4" r:id="rId4"/>
  </sheets>
  <calcPr calcId="124519" fullCalcOnLoad="1"/>
</workbook>
</file>

<file path=xl/sharedStrings.xml><?xml version="1.0" encoding="utf-8"?>
<sst xmlns="http://schemas.openxmlformats.org/spreadsheetml/2006/main" count="148" uniqueCount="43">
  <si>
    <t>Date:</t>
  </si>
  <si>
    <t>Request ID: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</si>
  <si>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</si>
  <si>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</si>
  <si>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</si>
  <si>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</si>
  <si>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</si>
  <si>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</si>
  <si>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</si>
  <si>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</si>
  <si>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</si>
  <si>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</si>
  <si>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(C)</t>
  </si>
  <si>
    <t>T2 (C)</t>
  </si>
  <si>
    <t>P (bar)</t>
  </si>
  <si>
    <t>sample(s)</t>
  </si>
  <si>
    <t>weight (g)</t>
  </si>
  <si>
    <t>volume (mL)</t>
  </si>
  <si>
    <t>200127586_1</t>
  </si>
  <si>
    <t>200127586_2</t>
  </si>
  <si>
    <t>200127586_3</t>
  </si>
  <si>
    <t>200127587_1</t>
  </si>
  <si>
    <t>200127587_2</t>
  </si>
  <si>
    <t>200127587_3</t>
  </si>
  <si>
    <t>Katanax</t>
  </si>
  <si>
    <t>Ti, Si</t>
  </si>
  <si>
    <t>200127588_1</t>
  </si>
  <si>
    <t>200127588_2</t>
  </si>
  <si>
    <t>200127588_3</t>
  </si>
  <si>
    <t>sample</t>
  </si>
  <si>
    <t>Dilution</t>
  </si>
  <si>
    <t>conc. [mg/L]</t>
  </si>
  <si>
    <t>Ca_ppm</t>
  </si>
  <si>
    <t>%Ca</t>
  </si>
  <si>
    <t>reported result:</t>
  </si>
  <si>
    <t>oxide factor:</t>
  </si>
  <si>
    <t>lot:</t>
  </si>
  <si>
    <t>Cu_ppm</t>
  </si>
  <si>
    <t>%Cu</t>
  </si>
  <si>
    <t>Ti_ppm</t>
  </si>
  <si>
    <t>%Ti</t>
  </si>
  <si>
    <t>Si_ppm</t>
  </si>
  <si>
    <t>%Si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</si>
</sst>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"/>
    <numFmt numFmtId="166" formatCode="0.00&quot; ppm&quot;"/>
    <numFmt numFmtId="167" formatCode="0.00&quot; %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1.7109375" customWidth="1"/>
  </cols>
  <sheetData>
    <row r="1" spans="1:5">
      <c r="A1" s="1" t="s">
        <v>0</v>
      </c>
      <c r="B1" s="2">
        <v>46135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  <c r="D5" s="3"/>
      <c r="E5" s="3"/>
    </row>
    <row r="6" spans="1:5">
      <c r="A6" s="4" t="s">
        <v>3</v>
      </c>
      <c r="B6" s="5" t="s">
        <v>4</v>
      </c>
      <c r="C6" s="5"/>
      <c r="D6" s="5"/>
      <c r="E6" s="5"/>
    </row>
    <row r="7" spans="1:5">
      <c r="A7" s="4" t="s">
        <v>5</v>
      </c>
      <c r="B7" s="5"/>
      <c r="C7" s="5"/>
      <c r="D7" s="5"/>
      <c r="E7" s="5"/>
    </row>
    <row r="8" spans="1:5">
      <c r="A8" s="4" t="s">
        <v>6</v>
      </c>
      <c r="B8" s="5"/>
      <c r="C8" s="5"/>
      <c r="D8" s="5"/>
      <c r="E8" s="5"/>
    </row>
    <row r="9" spans="1:5">
      <c r="A9" s="4" t="s">
        <v>7</v>
      </c>
      <c r="B9" s="5"/>
      <c r="C9" s="5"/>
      <c r="D9" s="5"/>
      <c r="E9" s="5"/>
    </row>
    <row r="10" spans="1:5">
      <c r="A10" s="4" t="s">
        <v>8</v>
      </c>
      <c r="B10" s="5"/>
      <c r="C10" s="5"/>
      <c r="D10" s="5"/>
      <c r="E10" s="5"/>
    </row>
    <row r="11" spans="1:5">
      <c r="A11" s="4" t="s">
        <v>9</v>
      </c>
      <c r="B11" s="5"/>
      <c r="C11" s="5"/>
      <c r="D11" s="5"/>
      <c r="E11" s="5"/>
    </row>
    <row r="12" spans="1: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</row>
    <row r="13" spans="1:5">
      <c r="A13" s="5"/>
      <c r="B13" s="5"/>
      <c r="C13" s="5"/>
      <c r="D13" s="5"/>
      <c r="E13" s="5"/>
    </row>
    <row r="14" spans="1:5">
      <c r="A14" s="5"/>
      <c r="B14" s="5"/>
      <c r="C14" s="5"/>
      <c r="D14" s="5"/>
      <c r="E14" s="5"/>
    </row>
    <row r="15" spans="1:5">
      <c r="A15" s="5"/>
      <c r="B15" s="5"/>
      <c r="C15" s="5"/>
      <c r="D15" s="5"/>
      <c r="E15" s="5"/>
    </row>
    <row r="16" spans="1:5">
      <c r="A16" s="4" t="s">
        <v>15</v>
      </c>
      <c r="B16" s="4" t="s">
        <v>16</v>
      </c>
      <c r="C16" s="4" t="s">
        <v>17</v>
      </c>
    </row>
    <row r="17" spans="1:3">
      <c r="A17" s="4" t="s">
        <v>18</v>
      </c>
      <c r="B17" s="5"/>
      <c r="C17" s="5"/>
    </row>
    <row r="18" spans="1:3">
      <c r="A18" s="4" t="s">
        <v>19</v>
      </c>
      <c r="B18" s="5"/>
      <c r="C18" s="5"/>
    </row>
    <row r="19" spans="1:3">
      <c r="A19" s="4" t="s">
        <v>20</v>
      </c>
      <c r="B19" s="5"/>
      <c r="C19" s="5"/>
    </row>
    <row r="20" spans="1:3">
      <c r="A20" s="4" t="s">
        <v>21</v>
      </c>
      <c r="B20" s="5"/>
      <c r="C20" s="5"/>
    </row>
    <row r="21" spans="1:3">
      <c r="A21" s="4" t="s">
        <v>22</v>
      </c>
      <c r="B21" s="5"/>
      <c r="C21" s="5"/>
    </row>
    <row r="22" spans="1:3">
      <c r="A22" s="4" t="s">
        <v>23</v>
      </c>
      <c r="B22" s="5"/>
      <c r="C22" s="5"/>
    </row>
    <row r="25" spans="1:3">
      <c r="A25" s="3" t="s">
        <v>24</v>
      </c>
      <c r="B25" s="3"/>
      <c r="C25" s="3"/>
    </row>
    <row r="26" spans="1:3">
      <c r="A26" s="4" t="s">
        <v>3</v>
      </c>
      <c r="B26" s="5" t="s">
        <v>25</v>
      </c>
      <c r="C26" s="5"/>
    </row>
    <row r="27" spans="1:3">
      <c r="A27" s="4" t="s">
        <v>5</v>
      </c>
      <c r="B27" s="5"/>
      <c r="C27" s="5"/>
    </row>
    <row r="28" spans="1:3">
      <c r="A28" s="4" t="s">
        <v>6</v>
      </c>
      <c r="B28" s="5"/>
      <c r="C28" s="5"/>
    </row>
    <row r="29" spans="1:3">
      <c r="A29" s="4" t="s">
        <v>15</v>
      </c>
      <c r="B29" s="4" t="s">
        <v>16</v>
      </c>
      <c r="C29" s="4" t="s">
        <v>17</v>
      </c>
    </row>
    <row r="30" spans="1:3">
      <c r="A30" s="4" t="s">
        <v>21</v>
      </c>
      <c r="B30" s="5"/>
      <c r="C30" s="5">
        <v>250</v>
      </c>
    </row>
    <row r="31" spans="1:3">
      <c r="A31" s="4" t="s">
        <v>22</v>
      </c>
      <c r="B31" s="5"/>
      <c r="C31" s="5">
        <v>250</v>
      </c>
    </row>
    <row r="32" spans="1:3">
      <c r="A32" s="4" t="s">
        <v>23</v>
      </c>
      <c r="B32" s="5"/>
      <c r="C32" s="5">
        <v>250</v>
      </c>
    </row>
    <row r="33" spans="1:3">
      <c r="A33" s="4" t="s">
        <v>26</v>
      </c>
      <c r="B33" s="5"/>
      <c r="C33" s="5">
        <v>250</v>
      </c>
    </row>
    <row r="34" spans="1:3">
      <c r="A34" s="4" t="s">
        <v>27</v>
      </c>
      <c r="B34" s="5"/>
      <c r="C34" s="5">
        <v>250</v>
      </c>
    </row>
    <row r="35" spans="1:3">
      <c r="A35" s="4" t="s">
        <v>28</v>
      </c>
      <c r="B35" s="5"/>
      <c r="C35" s="5">
        <v>250</v>
      </c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5:C25"/>
    <mergeCell ref="B26:C26"/>
    <mergeCell ref="B27:C27"/>
    <mergeCell ref="B28:C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46135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32</v>
      </c>
      <c r="E5" s="6" t="s">
        <v>33</v>
      </c>
    </row>
    <row r="6" spans="1:9">
      <c r="A6" s="4" t="s">
        <v>18</v>
      </c>
      <c r="B6" s="5">
        <f>"1/1"</f>
        <v>0</v>
      </c>
      <c r="C6" s="5"/>
      <c r="D6" s="7">
        <f>((C6)*(H6)*(I6))/(G6*1)</f>
        <v>0</v>
      </c>
      <c r="E6" s="7">
        <f>D6/10000</f>
        <v>0</v>
      </c>
      <c r="G6">
        <f>Digestion!B17</f>
        <v>0</v>
      </c>
      <c r="H6">
        <f>Digestion!C17</f>
        <v>0</v>
      </c>
      <c r="I6">
        <f>(LEFT(B6,FIND("/",B6)-1)/RIGHT(B6,LEN(B6)-FIND("/", B6)))</f>
        <v>0</v>
      </c>
    </row>
    <row r="7" spans="1:9">
      <c r="A7" s="4" t="s">
        <v>19</v>
      </c>
      <c r="B7" s="5">
        <f>"1/1"</f>
        <v>0</v>
      </c>
      <c r="C7" s="5"/>
      <c r="D7" s="7">
        <f>((C7)*(H7)*(I7))/(G7*1)</f>
        <v>0</v>
      </c>
      <c r="E7" s="7">
        <f>D7/10000</f>
        <v>0</v>
      </c>
      <c r="G7">
        <f>Digestion!B18</f>
        <v>0</v>
      </c>
      <c r="H7">
        <f>Digestion!C18</f>
        <v>0</v>
      </c>
      <c r="I7">
        <f>(LEFT(B7,FIND("/",B7)-1)/RIGHT(B7,LEN(B7)-FIND("/", B7)))</f>
        <v>0</v>
      </c>
    </row>
    <row r="8" spans="1:9">
      <c r="A8" s="4" t="s">
        <v>20</v>
      </c>
      <c r="B8" s="5">
        <f>"1/1"</f>
        <v>0</v>
      </c>
      <c r="C8" s="5"/>
      <c r="D8" s="7">
        <f>((C8)*(H8)*(I8))/(G8*1)</f>
        <v>0</v>
      </c>
      <c r="E8" s="7">
        <f>D8/10000</f>
        <v>0</v>
      </c>
      <c r="G8">
        <f>Digestion!B19</f>
        <v>0</v>
      </c>
      <c r="H8">
        <f>Digestion!C19</f>
        <v>0</v>
      </c>
      <c r="I8">
        <f>(LEFT(B8,FIND("/",B8)-1)/RIGHT(B8,LEN(B8)-FIND("/", B8)))</f>
        <v>0</v>
      </c>
    </row>
    <row r="10" spans="1:9">
      <c r="A10" s="8" t="s">
        <v>34</v>
      </c>
      <c r="B10" s="8"/>
      <c r="C10" s="9">
        <f>AVERAGE(D6:D8)</f>
        <v>0</v>
      </c>
    </row>
    <row r="11" spans="1:9">
      <c r="A11" s="8" t="s">
        <v>34</v>
      </c>
      <c r="B11" s="8"/>
      <c r="C11" s="10">
        <f>AVERAGE(E6:E8)</f>
        <v>0</v>
      </c>
    </row>
    <row r="12" spans="1:9">
      <c r="A12" s="8" t="s">
        <v>35</v>
      </c>
      <c r="B12" s="8"/>
      <c r="C12" s="11"/>
    </row>
    <row r="13" spans="1:9">
      <c r="A13" s="8" t="s">
        <v>34</v>
      </c>
      <c r="B13" s="8"/>
      <c r="C13" s="10">
        <f>AVERAGE(E6:E8)*(C12)</f>
        <v>0</v>
      </c>
    </row>
    <row r="14" spans="1:9">
      <c r="A14" s="8" t="s">
        <v>36</v>
      </c>
      <c r="B14" s="8"/>
      <c r="C14" s="11"/>
      <c r="D14" s="11"/>
      <c r="E14" s="11"/>
    </row>
    <row r="16" spans="1:9">
      <c r="A16" s="4" t="s">
        <v>29</v>
      </c>
      <c r="B16" s="4" t="s">
        <v>30</v>
      </c>
      <c r="C16" s="4" t="s">
        <v>31</v>
      </c>
      <c r="D16" s="6" t="s">
        <v>37</v>
      </c>
      <c r="E16" s="6" t="s">
        <v>38</v>
      </c>
    </row>
    <row r="17" spans="1:9">
      <c r="A17" s="4" t="s">
        <v>18</v>
      </c>
      <c r="B17" s="5">
        <f>"1/1"</f>
        <v>0</v>
      </c>
      <c r="C17" s="5"/>
      <c r="D17" s="7">
        <f>((C17)*(H17)*(I17))/(G17*1)</f>
        <v>0</v>
      </c>
      <c r="E17" s="7">
        <f>D17/10000</f>
        <v>0</v>
      </c>
      <c r="G17">
        <f>Digestion!B17</f>
        <v>0</v>
      </c>
      <c r="H17">
        <f>Digestion!C17</f>
        <v>0</v>
      </c>
      <c r="I17">
        <f>(LEFT(B17,FIND("/",B17)-1)/RIGHT(B17,LEN(B17)-FIND("/", B17)))</f>
        <v>0</v>
      </c>
    </row>
    <row r="18" spans="1:9">
      <c r="A18" s="4" t="s">
        <v>19</v>
      </c>
      <c r="B18" s="5">
        <f>"1/1"</f>
        <v>0</v>
      </c>
      <c r="C18" s="5"/>
      <c r="D18" s="7">
        <f>((C18)*(H18)*(I18))/(G18*1)</f>
        <v>0</v>
      </c>
      <c r="E18" s="7">
        <f>D18/10000</f>
        <v>0</v>
      </c>
      <c r="G18">
        <f>Digestion!B18</f>
        <v>0</v>
      </c>
      <c r="H18">
        <f>Digestion!C18</f>
        <v>0</v>
      </c>
      <c r="I18">
        <f>(LEFT(B18,FIND("/",B18)-1)/RIGHT(B18,LEN(B18)-FIND("/", B18)))</f>
        <v>0</v>
      </c>
    </row>
    <row r="19" spans="1:9">
      <c r="A19" s="4" t="s">
        <v>20</v>
      </c>
      <c r="B19" s="5">
        <f>"1/1"</f>
        <v>0</v>
      </c>
      <c r="C19" s="5"/>
      <c r="D19" s="7">
        <f>((C19)*(H19)*(I19))/(G19*1)</f>
        <v>0</v>
      </c>
      <c r="E19" s="7">
        <f>D19/10000</f>
        <v>0</v>
      </c>
      <c r="G19">
        <f>Digestion!B19</f>
        <v>0</v>
      </c>
      <c r="H19">
        <f>Digestion!C19</f>
        <v>0</v>
      </c>
      <c r="I19">
        <f>(LEFT(B19,FIND("/",B19)-1)/RIGHT(B19,LEN(B19)-FIND("/", B19)))</f>
        <v>0</v>
      </c>
    </row>
    <row r="21" spans="1:9">
      <c r="A21" s="8" t="s">
        <v>34</v>
      </c>
      <c r="B21" s="8"/>
      <c r="C21" s="9">
        <f>AVERAGE(D17:D19)</f>
        <v>0</v>
      </c>
    </row>
    <row r="22" spans="1:9">
      <c r="A22" s="8" t="s">
        <v>34</v>
      </c>
      <c r="B22" s="8"/>
      <c r="C22" s="10">
        <f>AVERAGE(E17:E19)</f>
        <v>0</v>
      </c>
    </row>
    <row r="23" spans="1:9">
      <c r="A23" s="8" t="s">
        <v>35</v>
      </c>
      <c r="B23" s="8"/>
      <c r="C23" s="11"/>
    </row>
    <row r="24" spans="1:9">
      <c r="A24" s="8" t="s">
        <v>34</v>
      </c>
      <c r="B24" s="8"/>
      <c r="C24" s="10">
        <f>AVERAGE(E17:E19)*(C23)</f>
        <v>0</v>
      </c>
    </row>
    <row r="25" spans="1:9">
      <c r="A25" s="8" t="s">
        <v>36</v>
      </c>
      <c r="B25" s="8"/>
      <c r="C25" s="11"/>
      <c r="D25" s="11"/>
      <c r="E25" s="11"/>
    </row>
  </sheetData>
  <mergeCells count="12">
    <mergeCell ref="A10:B10"/>
    <mergeCell ref="A11:B11"/>
    <mergeCell ref="A12:B12"/>
    <mergeCell ref="A13:B13"/>
    <mergeCell ref="A14:B14"/>
    <mergeCell ref="C14:E14"/>
    <mergeCell ref="A21:B21"/>
    <mergeCell ref="A22:B22"/>
    <mergeCell ref="A23:B23"/>
    <mergeCell ref="A24:B24"/>
    <mergeCell ref="A25:B25"/>
    <mergeCell ref="C25:E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7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46135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32</v>
      </c>
      <c r="E5" s="6" t="s">
        <v>33</v>
      </c>
    </row>
    <row r="6" spans="1:9">
      <c r="A6" s="4" t="s">
        <v>21</v>
      </c>
      <c r="B6" s="5">
        <f>"1/1"</f>
        <v>0</v>
      </c>
      <c r="C6" s="5"/>
      <c r="D6" s="7">
        <f>((C6)*(H6)*(I6))/(G6*1)</f>
        <v>0</v>
      </c>
      <c r="E6" s="7">
        <f>D6/10000</f>
        <v>0</v>
      </c>
      <c r="G6">
        <f>Digestion!B20</f>
        <v>0</v>
      </c>
      <c r="H6">
        <f>Digestion!C20</f>
        <v>0</v>
      </c>
      <c r="I6">
        <f>(LEFT(B6,FIND("/",B6)-1)/RIGHT(B6,LEN(B6)-FIND("/", B6)))</f>
        <v>0</v>
      </c>
    </row>
    <row r="7" spans="1:9">
      <c r="A7" s="4" t="s">
        <v>22</v>
      </c>
      <c r="B7" s="5">
        <f>"1/1"</f>
        <v>0</v>
      </c>
      <c r="C7" s="5"/>
      <c r="D7" s="7">
        <f>((C7)*(H7)*(I7))/(G7*1)</f>
        <v>0</v>
      </c>
      <c r="E7" s="7">
        <f>D7/10000</f>
        <v>0</v>
      </c>
      <c r="G7">
        <f>Digestion!B21</f>
        <v>0</v>
      </c>
      <c r="H7">
        <f>Digestion!C21</f>
        <v>0</v>
      </c>
      <c r="I7">
        <f>(LEFT(B7,FIND("/",B7)-1)/RIGHT(B7,LEN(B7)-FIND("/", B7)))</f>
        <v>0</v>
      </c>
    </row>
    <row r="8" spans="1:9">
      <c r="A8" s="4" t="s">
        <v>23</v>
      </c>
      <c r="B8" s="5">
        <f>"1/1"</f>
        <v>0</v>
      </c>
      <c r="C8" s="5"/>
      <c r="D8" s="7">
        <f>((C8)*(H8)*(I8))/(G8*1)</f>
        <v>0</v>
      </c>
      <c r="E8" s="7">
        <f>D8/10000</f>
        <v>0</v>
      </c>
      <c r="G8">
        <f>Digestion!B22</f>
        <v>0</v>
      </c>
      <c r="H8">
        <f>Digestion!C22</f>
        <v>0</v>
      </c>
      <c r="I8">
        <f>(LEFT(B8,FIND("/",B8)-1)/RIGHT(B8,LEN(B8)-FIND("/", B8)))</f>
        <v>0</v>
      </c>
    </row>
    <row r="10" spans="1:9">
      <c r="A10" s="8" t="s">
        <v>34</v>
      </c>
      <c r="B10" s="8"/>
      <c r="C10" s="9">
        <f>AVERAGE(D6:D8)</f>
        <v>0</v>
      </c>
    </row>
    <row r="11" spans="1:9">
      <c r="A11" s="8" t="s">
        <v>34</v>
      </c>
      <c r="B11" s="8"/>
      <c r="C11" s="10">
        <f>AVERAGE(E6:E8)</f>
        <v>0</v>
      </c>
    </row>
    <row r="12" spans="1:9">
      <c r="A12" s="8" t="s">
        <v>35</v>
      </c>
      <c r="B12" s="8"/>
      <c r="C12" s="11"/>
    </row>
    <row r="13" spans="1:9">
      <c r="A13" s="8" t="s">
        <v>34</v>
      </c>
      <c r="B13" s="8"/>
      <c r="C13" s="10">
        <f>AVERAGE(E6:E8)*(C12)</f>
        <v>0</v>
      </c>
    </row>
    <row r="14" spans="1:9">
      <c r="A14" s="8" t="s">
        <v>36</v>
      </c>
      <c r="B14" s="8"/>
      <c r="C14" s="11"/>
      <c r="D14" s="11"/>
      <c r="E14" s="11"/>
    </row>
    <row r="16" spans="1:9">
      <c r="A16" s="4" t="s">
        <v>29</v>
      </c>
      <c r="B16" s="4" t="s">
        <v>30</v>
      </c>
      <c r="C16" s="4" t="s">
        <v>31</v>
      </c>
      <c r="D16" s="6" t="s">
        <v>37</v>
      </c>
      <c r="E16" s="6" t="s">
        <v>38</v>
      </c>
    </row>
    <row r="17" spans="1:9">
      <c r="A17" s="4" t="s">
        <v>21</v>
      </c>
      <c r="B17" s="5">
        <f>"1/1"</f>
        <v>0</v>
      </c>
      <c r="C17" s="5"/>
      <c r="D17" s="7">
        <f>((C17)*(H17)*(I17))/(G17*1)</f>
        <v>0</v>
      </c>
      <c r="E17" s="7">
        <f>D17/10000</f>
        <v>0</v>
      </c>
      <c r="G17">
        <f>Digestion!B20</f>
        <v>0</v>
      </c>
      <c r="H17">
        <f>Digestion!C20</f>
        <v>0</v>
      </c>
      <c r="I17">
        <f>(LEFT(B17,FIND("/",B17)-1)/RIGHT(B17,LEN(B17)-FIND("/", B17)))</f>
        <v>0</v>
      </c>
    </row>
    <row r="18" spans="1:9">
      <c r="A18" s="4" t="s">
        <v>22</v>
      </c>
      <c r="B18" s="5">
        <f>"1/1"</f>
        <v>0</v>
      </c>
      <c r="C18" s="5"/>
      <c r="D18" s="7">
        <f>((C18)*(H18)*(I18))/(G18*1)</f>
        <v>0</v>
      </c>
      <c r="E18" s="7">
        <f>D18/10000</f>
        <v>0</v>
      </c>
      <c r="G18">
        <f>Digestion!B21</f>
        <v>0</v>
      </c>
      <c r="H18">
        <f>Digestion!C21</f>
        <v>0</v>
      </c>
      <c r="I18">
        <f>(LEFT(B18,FIND("/",B18)-1)/RIGHT(B18,LEN(B18)-FIND("/", B18)))</f>
        <v>0</v>
      </c>
    </row>
    <row r="19" spans="1:9">
      <c r="A19" s="4" t="s">
        <v>23</v>
      </c>
      <c r="B19" s="5">
        <f>"1/1"</f>
        <v>0</v>
      </c>
      <c r="C19" s="5"/>
      <c r="D19" s="7">
        <f>((C19)*(H19)*(I19))/(G19*1)</f>
        <v>0</v>
      </c>
      <c r="E19" s="7">
        <f>D19/10000</f>
        <v>0</v>
      </c>
      <c r="G19">
        <f>Digestion!B22</f>
        <v>0</v>
      </c>
      <c r="H19">
        <f>Digestion!C22</f>
        <v>0</v>
      </c>
      <c r="I19">
        <f>(LEFT(B19,FIND("/",B19)-1)/RIGHT(B19,LEN(B19)-FIND("/", B19)))</f>
        <v>0</v>
      </c>
    </row>
    <row r="21" spans="1:9">
      <c r="A21" s="8" t="s">
        <v>34</v>
      </c>
      <c r="B21" s="8"/>
      <c r="C21" s="9">
        <f>AVERAGE(D17:D19)</f>
        <v>0</v>
      </c>
    </row>
    <row r="22" spans="1:9">
      <c r="A22" s="8" t="s">
        <v>34</v>
      </c>
      <c r="B22" s="8"/>
      <c r="C22" s="10">
        <f>AVERAGE(E17:E19)</f>
        <v>0</v>
      </c>
    </row>
    <row r="23" spans="1:9">
      <c r="A23" s="8" t="s">
        <v>35</v>
      </c>
      <c r="B23" s="8"/>
      <c r="C23" s="11"/>
    </row>
    <row r="24" spans="1:9">
      <c r="A24" s="8" t="s">
        <v>34</v>
      </c>
      <c r="B24" s="8"/>
      <c r="C24" s="10">
        <f>AVERAGE(E17:E19)*(C23)</f>
        <v>0</v>
      </c>
    </row>
    <row r="25" spans="1:9">
      <c r="A25" s="8" t="s">
        <v>36</v>
      </c>
      <c r="B25" s="8"/>
      <c r="C25" s="11"/>
      <c r="D25" s="11"/>
      <c r="E25" s="11"/>
    </row>
    <row r="27" spans="1:9">
      <c r="A27" s="4" t="s">
        <v>29</v>
      </c>
      <c r="B27" s="4" t="s">
        <v>30</v>
      </c>
      <c r="C27" s="4" t="s">
        <v>31</v>
      </c>
      <c r="D27" s="6" t="s">
        <v>39</v>
      </c>
      <c r="E27" s="6" t="s">
        <v>40</v>
      </c>
    </row>
    <row r="28" spans="1:9">
      <c r="A28" s="4" t="s">
        <v>21</v>
      </c>
      <c r="B28" s="5">
        <f>"1/1"</f>
        <v>0</v>
      </c>
      <c r="C28" s="5"/>
      <c r="D28" s="7">
        <f>((C28)*(H28)*(I28))/(G28*1)</f>
        <v>0</v>
      </c>
      <c r="E28" s="7">
        <f>D28/10000</f>
        <v>0</v>
      </c>
      <c r="G28">
        <f>Digestion!B30</f>
        <v>0</v>
      </c>
      <c r="H28">
        <f>Digestion!C30</f>
        <v>0</v>
      </c>
      <c r="I28">
        <f>(LEFT(B28,FIND("/",B28)-1)/RIGHT(B28,LEN(B28)-FIND("/", B28)))</f>
        <v>0</v>
      </c>
    </row>
    <row r="29" spans="1:9">
      <c r="A29" s="4" t="s">
        <v>22</v>
      </c>
      <c r="B29" s="5">
        <f>"1/1"</f>
        <v>0</v>
      </c>
      <c r="C29" s="5"/>
      <c r="D29" s="7">
        <f>((C29)*(H29)*(I29))/(G29*1)</f>
        <v>0</v>
      </c>
      <c r="E29" s="7">
        <f>D29/10000</f>
        <v>0</v>
      </c>
      <c r="G29">
        <f>Digestion!B31</f>
        <v>0</v>
      </c>
      <c r="H29">
        <f>Digestion!C31</f>
        <v>0</v>
      </c>
      <c r="I29">
        <f>(LEFT(B29,FIND("/",B29)-1)/RIGHT(B29,LEN(B29)-FIND("/", B29)))</f>
        <v>0</v>
      </c>
    </row>
    <row r="30" spans="1:9">
      <c r="A30" s="4" t="s">
        <v>23</v>
      </c>
      <c r="B30" s="5">
        <f>"1/1"</f>
        <v>0</v>
      </c>
      <c r="C30" s="5"/>
      <c r="D30" s="7">
        <f>((C30)*(H30)*(I30))/(G30*1)</f>
        <v>0</v>
      </c>
      <c r="E30" s="7">
        <f>D30/10000</f>
        <v>0</v>
      </c>
      <c r="G30">
        <f>Digestion!B32</f>
        <v>0</v>
      </c>
      <c r="H30">
        <f>Digestion!C32</f>
        <v>0</v>
      </c>
      <c r="I30">
        <f>(LEFT(B30,FIND("/",B30)-1)/RIGHT(B30,LEN(B30)-FIND("/", B30)))</f>
        <v>0</v>
      </c>
    </row>
    <row r="32" spans="1:9">
      <c r="A32" s="8" t="s">
        <v>34</v>
      </c>
      <c r="B32" s="8"/>
      <c r="C32" s="9">
        <f>AVERAGE(D28:D30)</f>
        <v>0</v>
      </c>
    </row>
    <row r="33" spans="1:9">
      <c r="A33" s="8" t="s">
        <v>34</v>
      </c>
      <c r="B33" s="8"/>
      <c r="C33" s="10">
        <f>AVERAGE(E28:E30)</f>
        <v>0</v>
      </c>
    </row>
    <row r="34" spans="1:9">
      <c r="A34" s="8" t="s">
        <v>35</v>
      </c>
      <c r="B34" s="8"/>
      <c r="C34" s="11"/>
    </row>
    <row r="35" spans="1:9">
      <c r="A35" s="8" t="s">
        <v>34</v>
      </c>
      <c r="B35" s="8"/>
      <c r="C35" s="10">
        <f>AVERAGE(E28:E30)*(C34)</f>
        <v>0</v>
      </c>
    </row>
    <row r="36" spans="1:9">
      <c r="A36" s="8" t="s">
        <v>36</v>
      </c>
      <c r="B36" s="8"/>
      <c r="C36" s="11"/>
      <c r="D36" s="11"/>
      <c r="E36" s="11"/>
    </row>
    <row r="38" spans="1:9">
      <c r="A38" s="4" t="s">
        <v>29</v>
      </c>
      <c r="B38" s="4" t="s">
        <v>30</v>
      </c>
      <c r="C38" s="4" t="s">
        <v>31</v>
      </c>
      <c r="D38" s="6" t="s">
        <v>41</v>
      </c>
      <c r="E38" s="6" t="s">
        <v>42</v>
      </c>
    </row>
    <row r="39" spans="1:9">
      <c r="A39" s="4" t="s">
        <v>21</v>
      </c>
      <c r="B39" s="5">
        <f>"1/1"</f>
        <v>0</v>
      </c>
      <c r="C39" s="5"/>
      <c r="D39" s="7">
        <f>((C39)*(H39)*(I39))/(G39*1)</f>
        <v>0</v>
      </c>
      <c r="E39" s="7">
        <f>D39/10000</f>
        <v>0</v>
      </c>
      <c r="G39">
        <f>Digestion!B30</f>
        <v>0</v>
      </c>
      <c r="H39">
        <f>Digestion!C30</f>
        <v>0</v>
      </c>
      <c r="I39">
        <f>(LEFT(B39,FIND("/",B39)-1)/RIGHT(B39,LEN(B39)-FIND("/", B39)))</f>
        <v>0</v>
      </c>
    </row>
    <row r="40" spans="1:9">
      <c r="A40" s="4" t="s">
        <v>22</v>
      </c>
      <c r="B40" s="5">
        <f>"1/1"</f>
        <v>0</v>
      </c>
      <c r="C40" s="5"/>
      <c r="D40" s="7">
        <f>((C40)*(H40)*(I40))/(G40*1)</f>
        <v>0</v>
      </c>
      <c r="E40" s="7">
        <f>D40/10000</f>
        <v>0</v>
      </c>
      <c r="G40">
        <f>Digestion!B31</f>
        <v>0</v>
      </c>
      <c r="H40">
        <f>Digestion!C31</f>
        <v>0</v>
      </c>
      <c r="I40">
        <f>(LEFT(B40,FIND("/",B40)-1)/RIGHT(B40,LEN(B40)-FIND("/", B40)))</f>
        <v>0</v>
      </c>
    </row>
    <row r="41" spans="1:9">
      <c r="A41" s="4" t="s">
        <v>23</v>
      </c>
      <c r="B41" s="5">
        <f>"1/1"</f>
        <v>0</v>
      </c>
      <c r="C41" s="5"/>
      <c r="D41" s="7">
        <f>((C41)*(H41)*(I41))/(G41*1)</f>
        <v>0</v>
      </c>
      <c r="E41" s="7">
        <f>D41/10000</f>
        <v>0</v>
      </c>
      <c r="G41">
        <f>Digestion!B32</f>
        <v>0</v>
      </c>
      <c r="H41">
        <f>Digestion!C32</f>
        <v>0</v>
      </c>
      <c r="I41">
        <f>(LEFT(B41,FIND("/",B41)-1)/RIGHT(B41,LEN(B41)-FIND("/", B41)))</f>
        <v>0</v>
      </c>
    </row>
    <row r="43" spans="1:9">
      <c r="A43" s="8" t="s">
        <v>34</v>
      </c>
      <c r="B43" s="8"/>
      <c r="C43" s="9">
        <f>AVERAGE(D39:D41)</f>
        <v>0</v>
      </c>
    </row>
    <row r="44" spans="1:9">
      <c r="A44" s="8" t="s">
        <v>34</v>
      </c>
      <c r="B44" s="8"/>
      <c r="C44" s="10">
        <f>AVERAGE(E39:E41)</f>
        <v>0</v>
      </c>
    </row>
    <row r="45" spans="1:9">
      <c r="A45" s="8" t="s">
        <v>35</v>
      </c>
      <c r="B45" s="8"/>
      <c r="C45" s="11"/>
    </row>
    <row r="46" spans="1:9">
      <c r="A46" s="8" t="s">
        <v>34</v>
      </c>
      <c r="B46" s="8"/>
      <c r="C46" s="10">
        <f>AVERAGE(E39:E41)*(C45)</f>
        <v>0</v>
      </c>
    </row>
    <row r="47" spans="1:9">
      <c r="A47" s="8" t="s">
        <v>36</v>
      </c>
      <c r="B47" s="8"/>
      <c r="C47" s="11"/>
      <c r="D47" s="11"/>
      <c r="E47" s="11"/>
    </row>
  </sheetData>
  <mergeCells count="24">
    <mergeCell ref="A10:B10"/>
    <mergeCell ref="A11:B11"/>
    <mergeCell ref="A12:B12"/>
    <mergeCell ref="A13:B13"/>
    <mergeCell ref="A14:B14"/>
    <mergeCell ref="C14:E14"/>
    <mergeCell ref="A21:B21"/>
    <mergeCell ref="A22:B22"/>
    <mergeCell ref="A23:B23"/>
    <mergeCell ref="A24:B24"/>
    <mergeCell ref="A25:B25"/>
    <mergeCell ref="C25:E25"/>
    <mergeCell ref="A32:B32"/>
    <mergeCell ref="A33:B33"/>
    <mergeCell ref="A34:B34"/>
    <mergeCell ref="A35:B35"/>
    <mergeCell ref="A36:B36"/>
    <mergeCell ref="C36:E36"/>
    <mergeCell ref="A43:B43"/>
    <mergeCell ref="A44:B44"/>
    <mergeCell ref="A45:B45"/>
    <mergeCell ref="A46:B46"/>
    <mergeCell ref="A47:B47"/>
    <mergeCell ref="C47:E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5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46135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39</v>
      </c>
      <c r="E5" s="6" t="s">
        <v>40</v>
      </c>
    </row>
    <row r="6" spans="1:9">
      <c r="A6" s="4" t="s">
        <v>26</v>
      </c>
      <c r="B6" s="5">
        <f>"1/1"</f>
        <v>0</v>
      </c>
      <c r="C6" s="5"/>
      <c r="D6" s="7">
        <f>((C6)*(H6)*(I6))/(G6*1)</f>
        <v>0</v>
      </c>
      <c r="E6" s="7">
        <f>D6/10000</f>
        <v>0</v>
      </c>
      <c r="G6">
        <f>Digestion!B33</f>
        <v>0</v>
      </c>
      <c r="H6">
        <f>Digestion!C33</f>
        <v>0</v>
      </c>
      <c r="I6">
        <f>(LEFT(B6,FIND("/",B6)-1)/RIGHT(B6,LEN(B6)-FIND("/", B6)))</f>
        <v>0</v>
      </c>
    </row>
    <row r="7" spans="1:9">
      <c r="A7" s="4" t="s">
        <v>27</v>
      </c>
      <c r="B7" s="5">
        <f>"1/1"</f>
        <v>0</v>
      </c>
      <c r="C7" s="5"/>
      <c r="D7" s="7">
        <f>((C7)*(H7)*(I7))/(G7*1)</f>
        <v>0</v>
      </c>
      <c r="E7" s="7">
        <f>D7/10000</f>
        <v>0</v>
      </c>
      <c r="G7">
        <f>Digestion!B34</f>
        <v>0</v>
      </c>
      <c r="H7">
        <f>Digestion!C34</f>
        <v>0</v>
      </c>
      <c r="I7">
        <f>(LEFT(B7,FIND("/",B7)-1)/RIGHT(B7,LEN(B7)-FIND("/", B7)))</f>
        <v>0</v>
      </c>
    </row>
    <row r="8" spans="1:9">
      <c r="A8" s="4" t="s">
        <v>28</v>
      </c>
      <c r="B8" s="5">
        <f>"1/1"</f>
        <v>0</v>
      </c>
      <c r="C8" s="5"/>
      <c r="D8" s="7">
        <f>((C8)*(H8)*(I8))/(G8*1)</f>
        <v>0</v>
      </c>
      <c r="E8" s="7">
        <f>D8/10000</f>
        <v>0</v>
      </c>
      <c r="G8">
        <f>Digestion!B35</f>
        <v>0</v>
      </c>
      <c r="H8">
        <f>Digestion!C35</f>
        <v>0</v>
      </c>
      <c r="I8">
        <f>(LEFT(B8,FIND("/",B8)-1)/RIGHT(B8,LEN(B8)-FIND("/", B8)))</f>
        <v>0</v>
      </c>
    </row>
    <row r="10" spans="1:9">
      <c r="A10" s="8" t="s">
        <v>34</v>
      </c>
      <c r="B10" s="8"/>
      <c r="C10" s="9">
        <f>AVERAGE(D6:D8)</f>
        <v>0</v>
      </c>
    </row>
    <row r="11" spans="1:9">
      <c r="A11" s="8" t="s">
        <v>34</v>
      </c>
      <c r="B11" s="8"/>
      <c r="C11" s="10">
        <f>AVERAGE(E6:E8)</f>
        <v>0</v>
      </c>
    </row>
    <row r="12" spans="1:9">
      <c r="A12" s="8" t="s">
        <v>35</v>
      </c>
      <c r="B12" s="8"/>
      <c r="C12" s="11"/>
    </row>
    <row r="13" spans="1:9">
      <c r="A13" s="8" t="s">
        <v>34</v>
      </c>
      <c r="B13" s="8"/>
      <c r="C13" s="10">
        <f>AVERAGE(E6:E8)*(C12)</f>
        <v>0</v>
      </c>
    </row>
    <row r="14" spans="1:9">
      <c r="A14" s="8" t="s">
        <v>36</v>
      </c>
      <c r="B14" s="8"/>
      <c r="C14" s="11"/>
      <c r="D14" s="11"/>
      <c r="E14" s="11"/>
    </row>
    <row r="16" spans="1:9">
      <c r="A16" s="4" t="s">
        <v>29</v>
      </c>
      <c r="B16" s="4" t="s">
        <v>30</v>
      </c>
      <c r="C16" s="4" t="s">
        <v>31</v>
      </c>
      <c r="D16" s="6" t="s">
        <v>41</v>
      </c>
      <c r="E16" s="6" t="s">
        <v>42</v>
      </c>
    </row>
    <row r="17" spans="1:9">
      <c r="A17" s="4" t="s">
        <v>26</v>
      </c>
      <c r="B17" s="5">
        <f>"1/1"</f>
        <v>0</v>
      </c>
      <c r="C17" s="5"/>
      <c r="D17" s="7">
        <f>((C17)*(H17)*(I17))/(G17*1)</f>
        <v>0</v>
      </c>
      <c r="E17" s="7">
        <f>D17/10000</f>
        <v>0</v>
      </c>
      <c r="G17">
        <f>Digestion!B33</f>
        <v>0</v>
      </c>
      <c r="H17">
        <f>Digestion!C33</f>
        <v>0</v>
      </c>
      <c r="I17">
        <f>(LEFT(B17,FIND("/",B17)-1)/RIGHT(B17,LEN(B17)-FIND("/", B17)))</f>
        <v>0</v>
      </c>
    </row>
    <row r="18" spans="1:9">
      <c r="A18" s="4" t="s">
        <v>27</v>
      </c>
      <c r="B18" s="5">
        <f>"1/1"</f>
        <v>0</v>
      </c>
      <c r="C18" s="5"/>
      <c r="D18" s="7">
        <f>((C18)*(H18)*(I18))/(G18*1)</f>
        <v>0</v>
      </c>
      <c r="E18" s="7">
        <f>D18/10000</f>
        <v>0</v>
      </c>
      <c r="G18">
        <f>Digestion!B34</f>
        <v>0</v>
      </c>
      <c r="H18">
        <f>Digestion!C34</f>
        <v>0</v>
      </c>
      <c r="I18">
        <f>(LEFT(B18,FIND("/",B18)-1)/RIGHT(B18,LEN(B18)-FIND("/", B18)))</f>
        <v>0</v>
      </c>
    </row>
    <row r="19" spans="1:9">
      <c r="A19" s="4" t="s">
        <v>28</v>
      </c>
      <c r="B19" s="5">
        <f>"1/1"</f>
        <v>0</v>
      </c>
      <c r="C19" s="5"/>
      <c r="D19" s="7">
        <f>((C19)*(H19)*(I19))/(G19*1)</f>
        <v>0</v>
      </c>
      <c r="E19" s="7">
        <f>D19/10000</f>
        <v>0</v>
      </c>
      <c r="G19">
        <f>Digestion!B35</f>
        <v>0</v>
      </c>
      <c r="H19">
        <f>Digestion!C35</f>
        <v>0</v>
      </c>
      <c r="I19">
        <f>(LEFT(B19,FIND("/",B19)-1)/RIGHT(B19,LEN(B19)-FIND("/", B19)))</f>
        <v>0</v>
      </c>
    </row>
    <row r="21" spans="1:9">
      <c r="A21" s="8" t="s">
        <v>34</v>
      </c>
      <c r="B21" s="8"/>
      <c r="C21" s="9">
        <f>AVERAGE(D17:D19)</f>
        <v>0</v>
      </c>
    </row>
    <row r="22" spans="1:9">
      <c r="A22" s="8" t="s">
        <v>34</v>
      </c>
      <c r="B22" s="8"/>
      <c r="C22" s="10">
        <f>AVERAGE(E17:E19)</f>
        <v>0</v>
      </c>
    </row>
    <row r="23" spans="1:9">
      <c r="A23" s="8" t="s">
        <v>35</v>
      </c>
      <c r="B23" s="8"/>
      <c r="C23" s="11"/>
    </row>
    <row r="24" spans="1:9">
      <c r="A24" s="8" t="s">
        <v>34</v>
      </c>
      <c r="B24" s="8"/>
      <c r="C24" s="10">
        <f>AVERAGE(E17:E19)*(C23)</f>
        <v>0</v>
      </c>
    </row>
    <row r="25" spans="1:9">
      <c r="A25" s="8" t="s">
        <v>36</v>
      </c>
      <c r="B25" s="8"/>
      <c r="C25" s="11"/>
      <c r="D25" s="11"/>
      <c r="E25" s="11"/>
    </row>
  </sheetData>
  <mergeCells count="12">
    <mergeCell ref="A10:B10"/>
    <mergeCell ref="A11:B11"/>
    <mergeCell ref="A12:B12"/>
    <mergeCell ref="A13:B13"/>
    <mergeCell ref="A14:B14"/>
    <mergeCell ref="C14:E14"/>
    <mergeCell ref="A21:B21"/>
    <mergeCell ref="A22:B22"/>
    <mergeCell ref="A23:B23"/>
    <mergeCell ref="A24:B24"/>
    <mergeCell ref="A25:B25"/>
    <mergeCell ref="C25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</vt:lpstr>
      <vt:lpstr>200127586</vt:lpstr>
      <vt:lpstr>200127587</vt:lpstr>
      <vt:lpstr>200127588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2026-04-23T04:46:44Z</dcterms:created>
  <dcterms:modified xsi:type="dcterms:W3CDTF">2026-04-23T04:46:44Z</dcterms:modified>
</cp:coreProperties>
</file>