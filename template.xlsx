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estion_page" sheetId="1" r:id="rId1"/>
    <sheet name="200127586" sheetId="2" r:id="rId2"/>
    <sheet name="200127587" sheetId="3" r:id="rId3"/>
    <sheet name="200127588" sheetId="4" r:id="rId4"/>
  </sheets>
  <calcPr calcId="124519" fullCalcOnLoad="1"/>
</workbook>
</file>

<file path=xl/sharedStrings.xml><?xml version="1.0" encoding="utf-8"?>
<sst xmlns="http://schemas.openxmlformats.org/spreadsheetml/2006/main" count="160" uniqueCount="50">
  <si>
    <t>Date:</t>
  </si>
  <si>
    <t>Request ID:</t>
  </si>
  <si>
    <t>Microwave</t>
  </si>
  <si>
    <t>Element(s)</t>
  </si>
  <si>
    <t>Ca, Cu</t>
  </si>
  <si>
    <t>SOP#</t>
  </si>
  <si>
    <t>Acid Cocktail</t>
  </si>
  <si>
    <t>Rack</t>
  </si>
  <si>
    <t>Vessel</t>
  </si>
  <si>
    <t>Stir</t>
  </si>
  <si>
    <t>Time (min)</t>
  </si>
  <si>
    <t>Power (W)</t>
  </si>
  <si>
    <t>T1 (C)</t>
  </si>
  <si>
    <t>T2 (C)</t>
  </si>
  <si>
    <t>P (bar)</t>
  </si>
  <si>
    <t>sample(s)</t>
  </si>
  <si>
    <t>weight (g)</t>
  </si>
  <si>
    <t>volume (mL)</t>
  </si>
  <si>
    <t>200127586_1</t>
  </si>
  <si>
    <t>200127586_2</t>
  </si>
  <si>
    <t>200127587_1</t>
  </si>
  <si>
    <t>200127587_2</t>
  </si>
  <si>
    <t>Katanax</t>
  </si>
  <si>
    <t>Ti, Si</t>
  </si>
  <si>
    <t>200127588_1</t>
  </si>
  <si>
    <t>200127588_2</t>
  </si>
  <si>
    <t>LOI temp:</t>
  </si>
  <si>
    <t>sample</t>
  </si>
  <si>
    <t>crucible (g)</t>
  </si>
  <si>
    <t>crucible + sample (g)</t>
  </si>
  <si>
    <t>LOI (%)</t>
  </si>
  <si>
    <t>correction</t>
  </si>
  <si>
    <t>200127586</t>
  </si>
  <si>
    <t>Dilution</t>
  </si>
  <si>
    <t>conc. [mg/L]</t>
  </si>
  <si>
    <t>Ca_ppm [dried]</t>
  </si>
  <si>
    <t>%Ca [dried]</t>
  </si>
  <si>
    <t>result:</t>
  </si>
  <si>
    <t>oxide factor:</t>
  </si>
  <si>
    <t>oxide result:</t>
  </si>
  <si>
    <t>lot:</t>
  </si>
  <si>
    <t>Cu_ppm [dried]</t>
  </si>
  <si>
    <t>%Cu [dried]</t>
  </si>
  <si>
    <t>Note(s):</t>
  </si>
  <si>
    <t>200127587</t>
  </si>
  <si>
    <t>Ti_ppm [dried]</t>
  </si>
  <si>
    <t>%Ti [dried]</t>
  </si>
  <si>
    <t>Si_ppm [dried]</t>
  </si>
  <si>
    <t>%Si [dried]</t>
  </si>
  <si>
    <t>200127588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</si>
</sst>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.00"/>
    <numFmt numFmtId="166" formatCode="0.0000"/>
    <numFmt numFmtId="167" formatCode="0.00&quot; ppm&quot;"/>
    <numFmt numFmtId="168" formatCode="0.00&quot; %&quot;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165" fontId="0" fillId="0" borderId="1" xfId="0" applyNumberFormat="1" applyBorder="1"/>
    <xf numFmtId="166" fontId="0" fillId="0" borderId="1" xfId="0" applyNumberFormat="1" applyBorder="1"/>
    <xf numFmtId="0" fontId="2" fillId="0" borderId="0" xfId="0" applyFont="1"/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11.7109375" customWidth="1"/>
  </cols>
  <sheetData>
    <row r="1" spans="1:5">
      <c r="A1" s="1" t="s">
        <v>0</v>
      </c>
      <c r="B1" s="2">
        <v>46136</v>
      </c>
    </row>
    <row r="2" spans="1:5">
      <c r="A2" s="1" t="s">
        <v>1</v>
      </c>
      <c r="B2">
        <v>100482511</v>
      </c>
    </row>
    <row r="5" spans="1:5">
      <c r="A5" s="3" t="s">
        <v>2</v>
      </c>
      <c r="B5" s="3"/>
      <c r="C5" s="3"/>
      <c r="D5" s="3"/>
      <c r="E5" s="3"/>
    </row>
    <row r="6" spans="1:5">
      <c r="A6" s="4" t="s">
        <v>3</v>
      </c>
      <c r="B6" s="5" t="s">
        <v>4</v>
      </c>
      <c r="C6" s="5"/>
      <c r="D6" s="5"/>
      <c r="E6" s="5"/>
    </row>
    <row r="7" spans="1:5">
      <c r="A7" s="4" t="s">
        <v>5</v>
      </c>
      <c r="B7" s="5"/>
      <c r="C7" s="5"/>
      <c r="D7" s="5"/>
      <c r="E7" s="5"/>
    </row>
    <row r="8" spans="1:5">
      <c r="A8" s="4" t="s">
        <v>6</v>
      </c>
      <c r="B8" s="5"/>
      <c r="C8" s="5"/>
      <c r="D8" s="5"/>
      <c r="E8" s="5"/>
    </row>
    <row r="9" spans="1:5">
      <c r="A9" s="4" t="s">
        <v>7</v>
      </c>
      <c r="B9" s="5"/>
      <c r="C9" s="5"/>
      <c r="D9" s="5"/>
      <c r="E9" s="5"/>
    </row>
    <row r="10" spans="1:5">
      <c r="A10" s="4" t="s">
        <v>8</v>
      </c>
      <c r="B10" s="5"/>
      <c r="C10" s="5"/>
      <c r="D10" s="5"/>
      <c r="E10" s="5"/>
    </row>
    <row r="11" spans="1:5">
      <c r="A11" s="4" t="s">
        <v>9</v>
      </c>
      <c r="B11" s="5"/>
      <c r="C11" s="5"/>
      <c r="D11" s="5"/>
      <c r="E11" s="5"/>
    </row>
    <row r="12" spans="1:5">
      <c r="A12" s="4" t="s">
        <v>10</v>
      </c>
      <c r="B12" s="4" t="s">
        <v>11</v>
      </c>
      <c r="C12" s="4" t="s">
        <v>12</v>
      </c>
      <c r="D12" s="4" t="s">
        <v>13</v>
      </c>
      <c r="E12" s="4" t="s">
        <v>14</v>
      </c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4" t="s">
        <v>15</v>
      </c>
      <c r="B16" s="4" t="s">
        <v>16</v>
      </c>
      <c r="C16" s="4" t="s">
        <v>17</v>
      </c>
    </row>
    <row r="17" spans="1:3">
      <c r="A17" s="4" t="s">
        <v>18</v>
      </c>
      <c r="B17" s="5"/>
      <c r="C17" s="5"/>
    </row>
    <row r="18" spans="1:3">
      <c r="A18" s="4" t="s">
        <v>19</v>
      </c>
      <c r="B18" s="5"/>
      <c r="C18" s="5"/>
    </row>
    <row r="19" spans="1:3">
      <c r="A19" s="4" t="s">
        <v>20</v>
      </c>
      <c r="B19" s="5"/>
      <c r="C19" s="5"/>
    </row>
    <row r="20" spans="1:3">
      <c r="A20" s="4" t="s">
        <v>21</v>
      </c>
      <c r="B20" s="5"/>
      <c r="C20" s="5"/>
    </row>
    <row r="23" spans="1:3">
      <c r="A23" s="3" t="s">
        <v>22</v>
      </c>
      <c r="B23" s="3"/>
      <c r="C23" s="3"/>
    </row>
    <row r="24" spans="1:3">
      <c r="A24" s="4" t="s">
        <v>3</v>
      </c>
      <c r="B24" s="5" t="s">
        <v>23</v>
      </c>
      <c r="C24" s="5"/>
    </row>
    <row r="25" spans="1:3">
      <c r="A25" s="4" t="s">
        <v>5</v>
      </c>
      <c r="B25" s="5"/>
      <c r="C25" s="5"/>
    </row>
    <row r="26" spans="1:3">
      <c r="A26" s="4" t="s">
        <v>6</v>
      </c>
      <c r="B26" s="5"/>
      <c r="C26" s="5"/>
    </row>
    <row r="27" spans="1:3">
      <c r="A27" s="4" t="s">
        <v>15</v>
      </c>
      <c r="B27" s="4" t="s">
        <v>16</v>
      </c>
      <c r="C27" s="4" t="s">
        <v>17</v>
      </c>
    </row>
    <row r="28" spans="1:3">
      <c r="A28" s="4" t="s">
        <v>20</v>
      </c>
      <c r="B28" s="5"/>
      <c r="C28" s="5">
        <v>250</v>
      </c>
    </row>
    <row r="29" spans="1:3">
      <c r="A29" s="4" t="s">
        <v>21</v>
      </c>
      <c r="B29" s="5"/>
      <c r="C29" s="5">
        <v>250</v>
      </c>
    </row>
    <row r="30" spans="1:3">
      <c r="A30" s="4" t="s">
        <v>24</v>
      </c>
      <c r="B30" s="5"/>
      <c r="C30" s="5">
        <v>250</v>
      </c>
    </row>
    <row r="31" spans="1:3">
      <c r="A31" s="4" t="s">
        <v>25</v>
      </c>
      <c r="B31" s="5"/>
      <c r="C31" s="5">
        <v>250</v>
      </c>
    </row>
  </sheetData>
  <mergeCells count="11">
    <mergeCell ref="A5:E5"/>
    <mergeCell ref="B6:E6"/>
    <mergeCell ref="B7:E7"/>
    <mergeCell ref="B8:E8"/>
    <mergeCell ref="B9:E9"/>
    <mergeCell ref="B10:E10"/>
    <mergeCell ref="B11:E11"/>
    <mergeCell ref="A23:C23"/>
    <mergeCell ref="B24:C24"/>
    <mergeCell ref="B25:C25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1.7109375" customWidth="1"/>
    <col min="3" max="3" width="12.7109375" customWidth="1"/>
  </cols>
  <sheetData>
    <row r="1" spans="1:9">
      <c r="A1" s="1" t="s">
        <v>0</v>
      </c>
      <c r="B1" s="2">
        <v>46136</v>
      </c>
    </row>
    <row r="2" spans="1:9">
      <c r="A2" s="1" t="s">
        <v>1</v>
      </c>
      <c r="B2">
        <v>100482511</v>
      </c>
    </row>
    <row r="5" spans="1:9">
      <c r="A5" s="6" t="s">
        <v>26</v>
      </c>
    </row>
    <row r="6" spans="1:9">
      <c r="A6" s="4" t="s">
        <v>27</v>
      </c>
      <c r="B6" s="4" t="s">
        <v>28</v>
      </c>
      <c r="C6" s="4" t="s">
        <v>29</v>
      </c>
      <c r="D6" s="4">
        <f>"after "&amp;B5&amp;" °C"</f>
        <v>0</v>
      </c>
      <c r="E6" s="4" t="s">
        <v>30</v>
      </c>
      <c r="F6" s="4" t="s">
        <v>31</v>
      </c>
    </row>
    <row r="7" spans="1:9">
      <c r="A7" s="4" t="s">
        <v>32</v>
      </c>
      <c r="B7" s="5"/>
      <c r="C7" s="5"/>
      <c r="D7" s="5"/>
      <c r="E7" s="7">
        <f>(((C7-B7)-(D7-B7))/(C7-B7))*100</f>
        <v>0</v>
      </c>
      <c r="F7" s="8">
        <f>1-(E7/100)</f>
        <v>0</v>
      </c>
    </row>
    <row r="9" spans="1:9">
      <c r="A9" s="4" t="s">
        <v>27</v>
      </c>
      <c r="B9" s="4" t="s">
        <v>33</v>
      </c>
      <c r="C9" s="4" t="s">
        <v>34</v>
      </c>
      <c r="D9" s="4" t="s">
        <v>35</v>
      </c>
      <c r="E9" s="4" t="s">
        <v>36</v>
      </c>
    </row>
    <row r="10" spans="1:9">
      <c r="A10" s="4" t="s">
        <v>18</v>
      </c>
      <c r="B10" s="5">
        <f>"1/1"</f>
        <v>0</v>
      </c>
      <c r="C10" s="5"/>
      <c r="D10" s="7">
        <f>((C10)*(H10)*(I10))/(G10*$F$7)</f>
        <v>0</v>
      </c>
      <c r="E10" s="7">
        <f>D10/10000</f>
        <v>0</v>
      </c>
      <c r="G10" s="9">
        <f>digestion_page!B17</f>
        <v>0</v>
      </c>
      <c r="H10" s="9">
        <f>digestion_page!C17</f>
        <v>0</v>
      </c>
      <c r="I10" s="9">
        <f>(LEFT(B10,FIND("/",B10)-1)/RIGHT(B10,LEN(B10)-FIND("/", B10)))</f>
        <v>0</v>
      </c>
    </row>
    <row r="11" spans="1:9">
      <c r="A11" s="4" t="s">
        <v>19</v>
      </c>
      <c r="B11" s="5">
        <f>"1/1"</f>
        <v>0</v>
      </c>
      <c r="C11" s="5"/>
      <c r="D11" s="7">
        <f>((C11)*(H11)*(I11))/(G11*$F$7)</f>
        <v>0</v>
      </c>
      <c r="E11" s="7">
        <f>D11/10000</f>
        <v>0</v>
      </c>
      <c r="G11" s="9">
        <f>digestion_page!B18</f>
        <v>0</v>
      </c>
      <c r="H11" s="9">
        <f>digestion_page!C18</f>
        <v>0</v>
      </c>
      <c r="I11" s="9">
        <f>(LEFT(B11,FIND("/",B11)-1)/RIGHT(B11,LEN(B11)-FIND("/", B11)))</f>
        <v>0</v>
      </c>
    </row>
    <row r="13" spans="1:9">
      <c r="A13" s="6" t="s">
        <v>37</v>
      </c>
      <c r="B13" s="6"/>
      <c r="C13" s="10">
        <f>AVERAGE(D10:D11)</f>
        <v>0</v>
      </c>
    </row>
    <row r="14" spans="1:9">
      <c r="A14" s="6" t="s">
        <v>37</v>
      </c>
      <c r="B14" s="6"/>
      <c r="C14" s="11">
        <f>AVERAGE(E10:E11)</f>
        <v>0</v>
      </c>
    </row>
    <row r="15" spans="1:9">
      <c r="A15" s="6" t="s">
        <v>38</v>
      </c>
      <c r="B15" s="6"/>
      <c r="C15" s="12"/>
    </row>
    <row r="16" spans="1:9">
      <c r="A16" s="6" t="s">
        <v>39</v>
      </c>
      <c r="B16" s="6"/>
      <c r="C16" s="11">
        <f>AVERAGE(E10:E11)*(C15)</f>
        <v>0</v>
      </c>
    </row>
    <row r="17" spans="1:9">
      <c r="A17" s="6" t="s">
        <v>40</v>
      </c>
      <c r="B17" s="6"/>
      <c r="C17" s="13"/>
      <c r="D17" s="13"/>
      <c r="E17" s="13"/>
    </row>
    <row r="19" spans="1:9">
      <c r="A19" s="4" t="s">
        <v>27</v>
      </c>
      <c r="B19" s="4" t="s">
        <v>33</v>
      </c>
      <c r="C19" s="4" t="s">
        <v>34</v>
      </c>
      <c r="D19" s="4" t="s">
        <v>41</v>
      </c>
      <c r="E19" s="4" t="s">
        <v>42</v>
      </c>
    </row>
    <row r="20" spans="1:9">
      <c r="A20" s="4" t="s">
        <v>18</v>
      </c>
      <c r="B20" s="5">
        <f>"1/1"</f>
        <v>0</v>
      </c>
      <c r="C20" s="5"/>
      <c r="D20" s="7">
        <f>((C20)*(H20)*(I20))/(G20*$F$7)</f>
        <v>0</v>
      </c>
      <c r="E20" s="7">
        <f>D20/10000</f>
        <v>0</v>
      </c>
      <c r="G20" s="9">
        <f>digestion_page!B17</f>
        <v>0</v>
      </c>
      <c r="H20" s="9">
        <f>digestion_page!C17</f>
        <v>0</v>
      </c>
      <c r="I20" s="9">
        <f>(LEFT(B20,FIND("/",B20)-1)/RIGHT(B20,LEN(B20)-FIND("/", B20)))</f>
        <v>0</v>
      </c>
    </row>
    <row r="21" spans="1:9">
      <c r="A21" s="4" t="s">
        <v>19</v>
      </c>
      <c r="B21" s="5">
        <f>"1/1"</f>
        <v>0</v>
      </c>
      <c r="C21" s="5"/>
      <c r="D21" s="7">
        <f>((C21)*(H21)*(I21))/(G21*$F$7)</f>
        <v>0</v>
      </c>
      <c r="E21" s="7">
        <f>D21/10000</f>
        <v>0</v>
      </c>
      <c r="G21" s="9">
        <f>digestion_page!B18</f>
        <v>0</v>
      </c>
      <c r="H21" s="9">
        <f>digestion_page!C18</f>
        <v>0</v>
      </c>
      <c r="I21" s="9">
        <f>(LEFT(B21,FIND("/",B21)-1)/RIGHT(B21,LEN(B21)-FIND("/", B21)))</f>
        <v>0</v>
      </c>
    </row>
    <row r="23" spans="1:9">
      <c r="A23" s="6" t="s">
        <v>37</v>
      </c>
      <c r="B23" s="6"/>
      <c r="C23" s="10">
        <f>AVERAGE(D20:D21)</f>
        <v>0</v>
      </c>
    </row>
    <row r="24" spans="1:9">
      <c r="A24" s="6" t="s">
        <v>37</v>
      </c>
      <c r="B24" s="6"/>
      <c r="C24" s="11">
        <f>AVERAGE(E20:E21)</f>
        <v>0</v>
      </c>
    </row>
    <row r="25" spans="1:9">
      <c r="A25" s="6" t="s">
        <v>38</v>
      </c>
      <c r="B25" s="6"/>
      <c r="C25" s="12"/>
    </row>
    <row r="26" spans="1:9">
      <c r="A26" s="6" t="s">
        <v>39</v>
      </c>
      <c r="B26" s="6"/>
      <c r="C26" s="11">
        <f>AVERAGE(E20:E21)*(C25)</f>
        <v>0</v>
      </c>
    </row>
    <row r="27" spans="1:9">
      <c r="A27" s="6" t="s">
        <v>40</v>
      </c>
      <c r="B27" s="6"/>
      <c r="C27" s="13"/>
      <c r="D27" s="13"/>
      <c r="E27" s="13"/>
    </row>
    <row r="29" spans="1:9">
      <c r="B29" s="6" t="s">
        <v>43</v>
      </c>
      <c r="C29" s="14"/>
      <c r="D29" s="14"/>
      <c r="E29" s="14"/>
    </row>
    <row r="30" spans="1:9">
      <c r="C30" s="14"/>
      <c r="D30" s="14"/>
      <c r="E30" s="14"/>
    </row>
    <row r="31" spans="1:9">
      <c r="C31" s="14"/>
      <c r="D31" s="14"/>
      <c r="E31" s="14"/>
    </row>
  </sheetData>
  <mergeCells count="13">
    <mergeCell ref="A13:B13"/>
    <mergeCell ref="A14:B14"/>
    <mergeCell ref="A15:B15"/>
    <mergeCell ref="A16:B16"/>
    <mergeCell ref="A17:B17"/>
    <mergeCell ref="C17:E17"/>
    <mergeCell ref="A23:B23"/>
    <mergeCell ref="A24:B24"/>
    <mergeCell ref="A25:B25"/>
    <mergeCell ref="A26:B26"/>
    <mergeCell ref="A27:B27"/>
    <mergeCell ref="C27:E27"/>
    <mergeCell ref="C29:E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cols>
    <col min="1" max="1" width="11.7109375" customWidth="1"/>
    <col min="3" max="3" width="12.7109375" customWidth="1"/>
  </cols>
  <sheetData>
    <row r="1" spans="1:9">
      <c r="A1" s="1" t="s">
        <v>0</v>
      </c>
      <c r="B1" s="2">
        <v>46136</v>
      </c>
    </row>
    <row r="2" spans="1:9">
      <c r="A2" s="1" t="s">
        <v>1</v>
      </c>
      <c r="B2">
        <v>100482511</v>
      </c>
    </row>
    <row r="5" spans="1:9">
      <c r="A5" s="6" t="s">
        <v>26</v>
      </c>
    </row>
    <row r="6" spans="1:9">
      <c r="A6" s="4" t="s">
        <v>27</v>
      </c>
      <c r="B6" s="4" t="s">
        <v>28</v>
      </c>
      <c r="C6" s="4" t="s">
        <v>29</v>
      </c>
      <c r="D6" s="4">
        <f>"after "&amp;B5&amp;" °C"</f>
        <v>0</v>
      </c>
      <c r="E6" s="4" t="s">
        <v>30</v>
      </c>
      <c r="F6" s="4" t="s">
        <v>31</v>
      </c>
    </row>
    <row r="7" spans="1:9">
      <c r="A7" s="4" t="s">
        <v>44</v>
      </c>
      <c r="B7" s="5"/>
      <c r="C7" s="5"/>
      <c r="D7" s="5"/>
      <c r="E7" s="7">
        <f>(((C7-B7)-(D7-B7))/(C7-B7))*100</f>
        <v>0</v>
      </c>
      <c r="F7" s="8">
        <f>1-(E7/100)</f>
        <v>0</v>
      </c>
    </row>
    <row r="9" spans="1:9">
      <c r="A9" s="4" t="s">
        <v>27</v>
      </c>
      <c r="B9" s="4" t="s">
        <v>33</v>
      </c>
      <c r="C9" s="4" t="s">
        <v>34</v>
      </c>
      <c r="D9" s="4" t="s">
        <v>35</v>
      </c>
      <c r="E9" s="4" t="s">
        <v>36</v>
      </c>
    </row>
    <row r="10" spans="1:9">
      <c r="A10" s="4" t="s">
        <v>20</v>
      </c>
      <c r="B10" s="5">
        <f>"1/1"</f>
        <v>0</v>
      </c>
      <c r="C10" s="5"/>
      <c r="D10" s="7">
        <f>((C10)*(H10)*(I10))/(G10*$F$7)</f>
        <v>0</v>
      </c>
      <c r="E10" s="7">
        <f>D10/10000</f>
        <v>0</v>
      </c>
      <c r="G10" s="9">
        <f>digestion_page!B19</f>
        <v>0</v>
      </c>
      <c r="H10" s="9">
        <f>digestion_page!C19</f>
        <v>0</v>
      </c>
      <c r="I10" s="9">
        <f>(LEFT(B10,FIND("/",B10)-1)/RIGHT(B10,LEN(B10)-FIND("/", B10)))</f>
        <v>0</v>
      </c>
    </row>
    <row r="11" spans="1:9">
      <c r="A11" s="4" t="s">
        <v>21</v>
      </c>
      <c r="B11" s="5">
        <f>"1/1"</f>
        <v>0</v>
      </c>
      <c r="C11" s="5"/>
      <c r="D11" s="7">
        <f>((C11)*(H11)*(I11))/(G11*$F$7)</f>
        <v>0</v>
      </c>
      <c r="E11" s="7">
        <f>D11/10000</f>
        <v>0</v>
      </c>
      <c r="G11" s="9">
        <f>digestion_page!B20</f>
        <v>0</v>
      </c>
      <c r="H11" s="9">
        <f>digestion_page!C20</f>
        <v>0</v>
      </c>
      <c r="I11" s="9">
        <f>(LEFT(B11,FIND("/",B11)-1)/RIGHT(B11,LEN(B11)-FIND("/", B11)))</f>
        <v>0</v>
      </c>
    </row>
    <row r="13" spans="1:9">
      <c r="A13" s="6" t="s">
        <v>37</v>
      </c>
      <c r="B13" s="6"/>
      <c r="C13" s="10">
        <f>AVERAGE(D10:D11)</f>
        <v>0</v>
      </c>
    </row>
    <row r="14" spans="1:9">
      <c r="A14" s="6" t="s">
        <v>37</v>
      </c>
      <c r="B14" s="6"/>
      <c r="C14" s="11">
        <f>AVERAGE(E10:E11)</f>
        <v>0</v>
      </c>
    </row>
    <row r="15" spans="1:9">
      <c r="A15" s="6" t="s">
        <v>38</v>
      </c>
      <c r="B15" s="6"/>
      <c r="C15" s="12"/>
    </row>
    <row r="16" spans="1:9">
      <c r="A16" s="6" t="s">
        <v>39</v>
      </c>
      <c r="B16" s="6"/>
      <c r="C16" s="11">
        <f>AVERAGE(E10:E11)*(C15)</f>
        <v>0</v>
      </c>
    </row>
    <row r="17" spans="1:9">
      <c r="A17" s="6" t="s">
        <v>40</v>
      </c>
      <c r="B17" s="6"/>
      <c r="C17" s="13"/>
      <c r="D17" s="13"/>
      <c r="E17" s="13"/>
    </row>
    <row r="19" spans="1:9">
      <c r="A19" s="4" t="s">
        <v>27</v>
      </c>
      <c r="B19" s="4" t="s">
        <v>33</v>
      </c>
      <c r="C19" s="4" t="s">
        <v>34</v>
      </c>
      <c r="D19" s="4" t="s">
        <v>41</v>
      </c>
      <c r="E19" s="4" t="s">
        <v>42</v>
      </c>
    </row>
    <row r="20" spans="1:9">
      <c r="A20" s="4" t="s">
        <v>20</v>
      </c>
      <c r="B20" s="5">
        <f>"1/1"</f>
        <v>0</v>
      </c>
      <c r="C20" s="5"/>
      <c r="D20" s="7">
        <f>((C20)*(H20)*(I20))/(G20*$F$7)</f>
        <v>0</v>
      </c>
      <c r="E20" s="7">
        <f>D20/10000</f>
        <v>0</v>
      </c>
      <c r="G20" s="9">
        <f>digestion_page!B19</f>
        <v>0</v>
      </c>
      <c r="H20" s="9">
        <f>digestion_page!C19</f>
        <v>0</v>
      </c>
      <c r="I20" s="9">
        <f>(LEFT(B20,FIND("/",B20)-1)/RIGHT(B20,LEN(B20)-FIND("/", B20)))</f>
        <v>0</v>
      </c>
    </row>
    <row r="21" spans="1:9">
      <c r="A21" s="4" t="s">
        <v>21</v>
      </c>
      <c r="B21" s="5">
        <f>"1/1"</f>
        <v>0</v>
      </c>
      <c r="C21" s="5"/>
      <c r="D21" s="7">
        <f>((C21)*(H21)*(I21))/(G21*$F$7)</f>
        <v>0</v>
      </c>
      <c r="E21" s="7">
        <f>D21/10000</f>
        <v>0</v>
      </c>
      <c r="G21" s="9">
        <f>digestion_page!B20</f>
        <v>0</v>
      </c>
      <c r="H21" s="9">
        <f>digestion_page!C20</f>
        <v>0</v>
      </c>
      <c r="I21" s="9">
        <f>(LEFT(B21,FIND("/",B21)-1)/RIGHT(B21,LEN(B21)-FIND("/", B21)))</f>
        <v>0</v>
      </c>
    </row>
    <row r="23" spans="1:9">
      <c r="A23" s="6" t="s">
        <v>37</v>
      </c>
      <c r="B23" s="6"/>
      <c r="C23" s="10">
        <f>AVERAGE(D20:D21)</f>
        <v>0</v>
      </c>
    </row>
    <row r="24" spans="1:9">
      <c r="A24" s="6" t="s">
        <v>37</v>
      </c>
      <c r="B24" s="6"/>
      <c r="C24" s="11">
        <f>AVERAGE(E20:E21)</f>
        <v>0</v>
      </c>
    </row>
    <row r="25" spans="1:9">
      <c r="A25" s="6" t="s">
        <v>38</v>
      </c>
      <c r="B25" s="6"/>
      <c r="C25" s="12"/>
    </row>
    <row r="26" spans="1:9">
      <c r="A26" s="6" t="s">
        <v>39</v>
      </c>
      <c r="B26" s="6"/>
      <c r="C26" s="11">
        <f>AVERAGE(E20:E21)*(C25)</f>
        <v>0</v>
      </c>
    </row>
    <row r="27" spans="1:9">
      <c r="A27" s="6" t="s">
        <v>40</v>
      </c>
      <c r="B27" s="6"/>
      <c r="C27" s="13"/>
      <c r="D27" s="13"/>
      <c r="E27" s="13"/>
    </row>
    <row r="29" spans="1:9">
      <c r="A29" s="4" t="s">
        <v>27</v>
      </c>
      <c r="B29" s="4" t="s">
        <v>33</v>
      </c>
      <c r="C29" s="4" t="s">
        <v>34</v>
      </c>
      <c r="D29" s="4" t="s">
        <v>45</v>
      </c>
      <c r="E29" s="4" t="s">
        <v>46</v>
      </c>
    </row>
    <row r="30" spans="1:9">
      <c r="A30" s="4" t="s">
        <v>20</v>
      </c>
      <c r="B30" s="5">
        <f>"1/1"</f>
        <v>0</v>
      </c>
      <c r="C30" s="5"/>
      <c r="D30" s="7">
        <f>((C30)*(H30)*(I30))/(G30*$F$7)</f>
        <v>0</v>
      </c>
      <c r="E30" s="7">
        <f>D30/10000</f>
        <v>0</v>
      </c>
      <c r="G30" s="9">
        <f>digestion_page!B28</f>
        <v>0</v>
      </c>
      <c r="H30" s="9">
        <f>digestion_page!C28</f>
        <v>0</v>
      </c>
      <c r="I30" s="9">
        <f>(LEFT(B30,FIND("/",B30)-1)/RIGHT(B30,LEN(B30)-FIND("/", B30)))</f>
        <v>0</v>
      </c>
    </row>
    <row r="31" spans="1:9">
      <c r="A31" s="4" t="s">
        <v>21</v>
      </c>
      <c r="B31" s="5">
        <f>"1/1"</f>
        <v>0</v>
      </c>
      <c r="C31" s="5"/>
      <c r="D31" s="7">
        <f>((C31)*(H31)*(I31))/(G31*$F$7)</f>
        <v>0</v>
      </c>
      <c r="E31" s="7">
        <f>D31/10000</f>
        <v>0</v>
      </c>
      <c r="G31" s="9">
        <f>digestion_page!B29</f>
        <v>0</v>
      </c>
      <c r="H31" s="9">
        <f>digestion_page!C29</f>
        <v>0</v>
      </c>
      <c r="I31" s="9">
        <f>(LEFT(B31,FIND("/",B31)-1)/RIGHT(B31,LEN(B31)-FIND("/", B31)))</f>
        <v>0</v>
      </c>
    </row>
    <row r="33" spans="1:9">
      <c r="A33" s="6" t="s">
        <v>37</v>
      </c>
      <c r="B33" s="6"/>
      <c r="C33" s="10">
        <f>AVERAGE(D30:D31)</f>
        <v>0</v>
      </c>
    </row>
    <row r="34" spans="1:9">
      <c r="A34" s="6" t="s">
        <v>37</v>
      </c>
      <c r="B34" s="6"/>
      <c r="C34" s="11">
        <f>AVERAGE(E30:E31)</f>
        <v>0</v>
      </c>
    </row>
    <row r="35" spans="1:9">
      <c r="A35" s="6" t="s">
        <v>38</v>
      </c>
      <c r="B35" s="6"/>
      <c r="C35" s="12"/>
    </row>
    <row r="36" spans="1:9">
      <c r="A36" s="6" t="s">
        <v>39</v>
      </c>
      <c r="B36" s="6"/>
      <c r="C36" s="11">
        <f>AVERAGE(E30:E31)*(C35)</f>
        <v>0</v>
      </c>
    </row>
    <row r="37" spans="1:9">
      <c r="A37" s="6" t="s">
        <v>40</v>
      </c>
      <c r="B37" s="6"/>
      <c r="C37" s="13"/>
      <c r="D37" s="13"/>
      <c r="E37" s="13"/>
    </row>
    <row r="39" spans="1:9">
      <c r="A39" s="4" t="s">
        <v>27</v>
      </c>
      <c r="B39" s="4" t="s">
        <v>33</v>
      </c>
      <c r="C39" s="4" t="s">
        <v>34</v>
      </c>
      <c r="D39" s="4" t="s">
        <v>47</v>
      </c>
      <c r="E39" s="4" t="s">
        <v>48</v>
      </c>
    </row>
    <row r="40" spans="1:9">
      <c r="A40" s="4" t="s">
        <v>20</v>
      </c>
      <c r="B40" s="5">
        <f>"1/1"</f>
        <v>0</v>
      </c>
      <c r="C40" s="5"/>
      <c r="D40" s="7">
        <f>((C40)*(H40)*(I40))/(G40*$F$7)</f>
        <v>0</v>
      </c>
      <c r="E40" s="7">
        <f>D40/10000</f>
        <v>0</v>
      </c>
      <c r="G40" s="9">
        <f>digestion_page!B28</f>
        <v>0</v>
      </c>
      <c r="H40" s="9">
        <f>digestion_page!C28</f>
        <v>0</v>
      </c>
      <c r="I40" s="9">
        <f>(LEFT(B40,FIND("/",B40)-1)/RIGHT(B40,LEN(B40)-FIND("/", B40)))</f>
        <v>0</v>
      </c>
    </row>
    <row r="41" spans="1:9">
      <c r="A41" s="4" t="s">
        <v>21</v>
      </c>
      <c r="B41" s="5">
        <f>"1/1"</f>
        <v>0</v>
      </c>
      <c r="C41" s="5"/>
      <c r="D41" s="7">
        <f>((C41)*(H41)*(I41))/(G41*$F$7)</f>
        <v>0</v>
      </c>
      <c r="E41" s="7">
        <f>D41/10000</f>
        <v>0</v>
      </c>
      <c r="G41" s="9">
        <f>digestion_page!B29</f>
        <v>0</v>
      </c>
      <c r="H41" s="9">
        <f>digestion_page!C29</f>
        <v>0</v>
      </c>
      <c r="I41" s="9">
        <f>(LEFT(B41,FIND("/",B41)-1)/RIGHT(B41,LEN(B41)-FIND("/", B41)))</f>
        <v>0</v>
      </c>
    </row>
    <row r="43" spans="1:9">
      <c r="A43" s="6" t="s">
        <v>37</v>
      </c>
      <c r="B43" s="6"/>
      <c r="C43" s="10">
        <f>AVERAGE(D40:D41)</f>
        <v>0</v>
      </c>
    </row>
    <row r="44" spans="1:9">
      <c r="A44" s="6" t="s">
        <v>37</v>
      </c>
      <c r="B44" s="6"/>
      <c r="C44" s="11">
        <f>AVERAGE(E40:E41)</f>
        <v>0</v>
      </c>
    </row>
    <row r="45" spans="1:9">
      <c r="A45" s="6" t="s">
        <v>38</v>
      </c>
      <c r="B45" s="6"/>
      <c r="C45" s="12"/>
    </row>
    <row r="46" spans="1:9">
      <c r="A46" s="6" t="s">
        <v>39</v>
      </c>
      <c r="B46" s="6"/>
      <c r="C46" s="11">
        <f>AVERAGE(E40:E41)*(C45)</f>
        <v>0</v>
      </c>
    </row>
    <row r="47" spans="1:9">
      <c r="A47" s="6" t="s">
        <v>40</v>
      </c>
      <c r="B47" s="6"/>
      <c r="C47" s="13"/>
      <c r="D47" s="13"/>
      <c r="E47" s="13"/>
    </row>
    <row r="49" spans="2:5">
      <c r="B49" s="6" t="s">
        <v>43</v>
      </c>
      <c r="C49" s="14"/>
      <c r="D49" s="14"/>
      <c r="E49" s="14"/>
    </row>
    <row r="50" spans="2:5">
      <c r="C50" s="14"/>
      <c r="D50" s="14"/>
      <c r="E50" s="14"/>
    </row>
    <row r="51" spans="2:5">
      <c r="C51" s="14"/>
      <c r="D51" s="14"/>
      <c r="E51" s="14"/>
    </row>
  </sheetData>
  <mergeCells count="25">
    <mergeCell ref="A13:B13"/>
    <mergeCell ref="A14:B14"/>
    <mergeCell ref="A15:B15"/>
    <mergeCell ref="A16:B16"/>
    <mergeCell ref="A17:B17"/>
    <mergeCell ref="C17:E17"/>
    <mergeCell ref="A23:B23"/>
    <mergeCell ref="A24:B24"/>
    <mergeCell ref="A25:B25"/>
    <mergeCell ref="A26:B26"/>
    <mergeCell ref="A27:B27"/>
    <mergeCell ref="C27:E27"/>
    <mergeCell ref="A33:B33"/>
    <mergeCell ref="A34:B34"/>
    <mergeCell ref="A35:B35"/>
    <mergeCell ref="A36:B36"/>
    <mergeCell ref="A37:B37"/>
    <mergeCell ref="C37:E37"/>
    <mergeCell ref="A43:B43"/>
    <mergeCell ref="A44:B44"/>
    <mergeCell ref="A45:B45"/>
    <mergeCell ref="A46:B46"/>
    <mergeCell ref="A47:B47"/>
    <mergeCell ref="C47:E47"/>
    <mergeCell ref="C49:E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1.7109375" customWidth="1"/>
    <col min="3" max="3" width="12.7109375" customWidth="1"/>
  </cols>
  <sheetData>
    <row r="1" spans="1:9">
      <c r="A1" s="1" t="s">
        <v>0</v>
      </c>
      <c r="B1" s="2">
        <v>46136</v>
      </c>
    </row>
    <row r="2" spans="1:9">
      <c r="A2" s="1" t="s">
        <v>1</v>
      </c>
      <c r="B2">
        <v>100482511</v>
      </c>
    </row>
    <row r="5" spans="1:9">
      <c r="A5" s="6" t="s">
        <v>26</v>
      </c>
    </row>
    <row r="6" spans="1:9">
      <c r="A6" s="4" t="s">
        <v>27</v>
      </c>
      <c r="B6" s="4" t="s">
        <v>28</v>
      </c>
      <c r="C6" s="4" t="s">
        <v>29</v>
      </c>
      <c r="D6" s="4">
        <f>"after "&amp;B5&amp;" °C"</f>
        <v>0</v>
      </c>
      <c r="E6" s="4" t="s">
        <v>30</v>
      </c>
      <c r="F6" s="4" t="s">
        <v>31</v>
      </c>
    </row>
    <row r="7" spans="1:9">
      <c r="A7" s="4" t="s">
        <v>49</v>
      </c>
      <c r="B7" s="5"/>
      <c r="C7" s="5"/>
      <c r="D7" s="5"/>
      <c r="E7" s="7">
        <f>(((C7-B7)-(D7-B7))/(C7-B7))*100</f>
        <v>0</v>
      </c>
      <c r="F7" s="8">
        <f>1-(E7/100)</f>
        <v>0</v>
      </c>
    </row>
    <row r="9" spans="1:9">
      <c r="A9" s="4" t="s">
        <v>27</v>
      </c>
      <c r="B9" s="4" t="s">
        <v>33</v>
      </c>
      <c r="C9" s="4" t="s">
        <v>34</v>
      </c>
      <c r="D9" s="4" t="s">
        <v>45</v>
      </c>
      <c r="E9" s="4" t="s">
        <v>46</v>
      </c>
    </row>
    <row r="10" spans="1:9">
      <c r="A10" s="4" t="s">
        <v>24</v>
      </c>
      <c r="B10" s="5">
        <f>"1/1"</f>
        <v>0</v>
      </c>
      <c r="C10" s="5"/>
      <c r="D10" s="7">
        <f>((C10)*(H10)*(I10))/(G10*$F$7)</f>
        <v>0</v>
      </c>
      <c r="E10" s="7">
        <f>D10/10000</f>
        <v>0</v>
      </c>
      <c r="G10" s="9">
        <f>digestion_page!B30</f>
        <v>0</v>
      </c>
      <c r="H10" s="9">
        <f>digestion_page!C30</f>
        <v>0</v>
      </c>
      <c r="I10" s="9">
        <f>(LEFT(B10,FIND("/",B10)-1)/RIGHT(B10,LEN(B10)-FIND("/", B10)))</f>
        <v>0</v>
      </c>
    </row>
    <row r="11" spans="1:9">
      <c r="A11" s="4" t="s">
        <v>25</v>
      </c>
      <c r="B11" s="5">
        <f>"1/1"</f>
        <v>0</v>
      </c>
      <c r="C11" s="5"/>
      <c r="D11" s="7">
        <f>((C11)*(H11)*(I11))/(G11*$F$7)</f>
        <v>0</v>
      </c>
      <c r="E11" s="7">
        <f>D11/10000</f>
        <v>0</v>
      </c>
      <c r="G11" s="9">
        <f>digestion_page!B31</f>
        <v>0</v>
      </c>
      <c r="H11" s="9">
        <f>digestion_page!C31</f>
        <v>0</v>
      </c>
      <c r="I11" s="9">
        <f>(LEFT(B11,FIND("/",B11)-1)/RIGHT(B11,LEN(B11)-FIND("/", B11)))</f>
        <v>0</v>
      </c>
    </row>
    <row r="13" spans="1:9">
      <c r="A13" s="6" t="s">
        <v>37</v>
      </c>
      <c r="B13" s="6"/>
      <c r="C13" s="10">
        <f>AVERAGE(D10:D11)</f>
        <v>0</v>
      </c>
    </row>
    <row r="14" spans="1:9">
      <c r="A14" s="6" t="s">
        <v>37</v>
      </c>
      <c r="B14" s="6"/>
      <c r="C14" s="11">
        <f>AVERAGE(E10:E11)</f>
        <v>0</v>
      </c>
    </row>
    <row r="15" spans="1:9">
      <c r="A15" s="6" t="s">
        <v>38</v>
      </c>
      <c r="B15" s="6"/>
      <c r="C15" s="12"/>
    </row>
    <row r="16" spans="1:9">
      <c r="A16" s="6" t="s">
        <v>39</v>
      </c>
      <c r="B16" s="6"/>
      <c r="C16" s="11">
        <f>AVERAGE(E10:E11)*(C15)</f>
        <v>0</v>
      </c>
    </row>
    <row r="17" spans="1:9">
      <c r="A17" s="6" t="s">
        <v>40</v>
      </c>
      <c r="B17" s="6"/>
      <c r="C17" s="13"/>
      <c r="D17" s="13"/>
      <c r="E17" s="13"/>
    </row>
    <row r="19" spans="1:9">
      <c r="A19" s="4" t="s">
        <v>27</v>
      </c>
      <c r="B19" s="4" t="s">
        <v>33</v>
      </c>
      <c r="C19" s="4" t="s">
        <v>34</v>
      </c>
      <c r="D19" s="4" t="s">
        <v>47</v>
      </c>
      <c r="E19" s="4" t="s">
        <v>48</v>
      </c>
    </row>
    <row r="20" spans="1:9">
      <c r="A20" s="4" t="s">
        <v>24</v>
      </c>
      <c r="B20" s="5">
        <f>"1/1"</f>
        <v>0</v>
      </c>
      <c r="C20" s="5"/>
      <c r="D20" s="7">
        <f>((C20)*(H20)*(I20))/(G20*$F$7)</f>
        <v>0</v>
      </c>
      <c r="E20" s="7">
        <f>D20/10000</f>
        <v>0</v>
      </c>
      <c r="G20" s="9">
        <f>digestion_page!B30</f>
        <v>0</v>
      </c>
      <c r="H20" s="9">
        <f>digestion_page!C30</f>
        <v>0</v>
      </c>
      <c r="I20" s="9">
        <f>(LEFT(B20,FIND("/",B20)-1)/RIGHT(B20,LEN(B20)-FIND("/", B20)))</f>
        <v>0</v>
      </c>
    </row>
    <row r="21" spans="1:9">
      <c r="A21" s="4" t="s">
        <v>25</v>
      </c>
      <c r="B21" s="5">
        <f>"1/1"</f>
        <v>0</v>
      </c>
      <c r="C21" s="5"/>
      <c r="D21" s="7">
        <f>((C21)*(H21)*(I21))/(G21*$F$7)</f>
        <v>0</v>
      </c>
      <c r="E21" s="7">
        <f>D21/10000</f>
        <v>0</v>
      </c>
      <c r="G21" s="9">
        <f>digestion_page!B31</f>
        <v>0</v>
      </c>
      <c r="H21" s="9">
        <f>digestion_page!C31</f>
        <v>0</v>
      </c>
      <c r="I21" s="9">
        <f>(LEFT(B21,FIND("/",B21)-1)/RIGHT(B21,LEN(B21)-FIND("/", B21)))</f>
        <v>0</v>
      </c>
    </row>
    <row r="23" spans="1:9">
      <c r="A23" s="6" t="s">
        <v>37</v>
      </c>
      <c r="B23" s="6"/>
      <c r="C23" s="10">
        <f>AVERAGE(D20:D21)</f>
        <v>0</v>
      </c>
    </row>
    <row r="24" spans="1:9">
      <c r="A24" s="6" t="s">
        <v>37</v>
      </c>
      <c r="B24" s="6"/>
      <c r="C24" s="11">
        <f>AVERAGE(E20:E21)</f>
        <v>0</v>
      </c>
    </row>
    <row r="25" spans="1:9">
      <c r="A25" s="6" t="s">
        <v>38</v>
      </c>
      <c r="B25" s="6"/>
      <c r="C25" s="12"/>
    </row>
    <row r="26" spans="1:9">
      <c r="A26" s="6" t="s">
        <v>39</v>
      </c>
      <c r="B26" s="6"/>
      <c r="C26" s="11">
        <f>AVERAGE(E20:E21)*(C25)</f>
        <v>0</v>
      </c>
    </row>
    <row r="27" spans="1:9">
      <c r="A27" s="6" t="s">
        <v>40</v>
      </c>
      <c r="B27" s="6"/>
      <c r="C27" s="13"/>
      <c r="D27" s="13"/>
      <c r="E27" s="13"/>
    </row>
    <row r="29" spans="1:9">
      <c r="B29" s="6" t="s">
        <v>43</v>
      </c>
      <c r="C29" s="14"/>
      <c r="D29" s="14"/>
      <c r="E29" s="14"/>
    </row>
    <row r="30" spans="1:9">
      <c r="C30" s="14"/>
      <c r="D30" s="14"/>
      <c r="E30" s="14"/>
    </row>
    <row r="31" spans="1:9">
      <c r="C31" s="14"/>
      <c r="D31" s="14"/>
      <c r="E31" s="14"/>
    </row>
  </sheetData>
  <mergeCells count="13">
    <mergeCell ref="A13:B13"/>
    <mergeCell ref="A14:B14"/>
    <mergeCell ref="A15:B15"/>
    <mergeCell ref="A16:B16"/>
    <mergeCell ref="A17:B17"/>
    <mergeCell ref="C17:E17"/>
    <mergeCell ref="A23:B23"/>
    <mergeCell ref="A24:B24"/>
    <mergeCell ref="A25:B25"/>
    <mergeCell ref="A26:B26"/>
    <mergeCell ref="A27:B27"/>
    <mergeCell ref="C27:E27"/>
    <mergeCell ref="C29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digestion_page</vt:lpstr>
      <vt:lpstr>200127586</vt:lpstr>
      <vt:lpstr>200127587</vt:lpstr>
      <vt:lpstr>200127588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2026-04-24T04:23:14Z</dcterms:created>
  <dcterms:modified xsi:type="dcterms:W3CDTF">2026-04-24T04:23:14Z</dcterms:modified>
</cp:coreProperties>
</file>