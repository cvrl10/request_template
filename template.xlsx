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la\clariant\request_template\"/>
    </mc:Choice>
  </mc:AlternateContent>
  <xr:revisionPtr revIDLastSave="0" documentId="13_ncr:1_{06BB7980-7A1F-45BF-A893-933493E9DA52}" xr6:coauthVersionLast="47" xr6:coauthVersionMax="47" xr10:uidLastSave="{00000000-0000-0000-0000-000000000000}"/>
  <bookViews>
    <workbookView xWindow="-23148" yWindow="-108" windowWidth="23256" windowHeight="12456" activeTab="2" xr2:uid="{00000000-000D-0000-FFFF-FFFF00000000}"/>
  </bookViews>
  <sheets>
    <sheet name="Digestion" sheetId="1" r:id="rId1"/>
    <sheet name="200126511" sheetId="2" r:id="rId2"/>
    <sheet name="200126512" sheetId="3" r:id="rId3"/>
    <sheet name="200126513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4" l="1"/>
  <c r="G12" i="4"/>
  <c r="B12" i="4"/>
  <c r="H11" i="4"/>
  <c r="G11" i="4"/>
  <c r="B11" i="4"/>
  <c r="H7" i="4"/>
  <c r="G7" i="4"/>
  <c r="B7" i="4"/>
  <c r="H6" i="4"/>
  <c r="G6" i="4"/>
  <c r="B6" i="4"/>
  <c r="H27" i="3"/>
  <c r="G27" i="3"/>
  <c r="B27" i="3"/>
  <c r="H26" i="3"/>
  <c r="G26" i="3"/>
  <c r="B26" i="3"/>
  <c r="H22" i="3"/>
  <c r="G22" i="3"/>
  <c r="B22" i="3"/>
  <c r="H21" i="3"/>
  <c r="G21" i="3"/>
  <c r="B21" i="3"/>
  <c r="H17" i="3"/>
  <c r="G17" i="3"/>
  <c r="B17" i="3"/>
  <c r="H16" i="3"/>
  <c r="G16" i="3"/>
  <c r="B16" i="3"/>
  <c r="H12" i="3"/>
  <c r="G12" i="3"/>
  <c r="B12" i="3"/>
  <c r="H11" i="3"/>
  <c r="G11" i="3"/>
  <c r="B11" i="3"/>
  <c r="H7" i="3"/>
  <c r="G7" i="3"/>
  <c r="B7" i="3"/>
  <c r="H6" i="3"/>
  <c r="G6" i="3"/>
  <c r="B6" i="3"/>
  <c r="H12" i="2"/>
  <c r="G12" i="2"/>
  <c r="B12" i="2"/>
  <c r="H11" i="2"/>
  <c r="G11" i="2"/>
  <c r="B11" i="2"/>
  <c r="H7" i="2"/>
  <c r="G7" i="2"/>
  <c r="B7" i="2"/>
  <c r="H6" i="2"/>
  <c r="G6" i="2"/>
  <c r="B6" i="2"/>
</calcChain>
</file>

<file path=xl/sharedStrings.xml><?xml version="1.0" encoding="utf-8"?>
<sst xmlns="http://schemas.openxmlformats.org/spreadsheetml/2006/main" count="117" uniqueCount="42">
  <si>
    <t>Date:</t>
  </si>
  <si>
    <t>Request ID:</t>
  </si>
  <si>
    <t>Carl</t>
  </si>
  <si>
    <t>Microwave</t>
  </si>
  <si>
    <t>Element(s)</t>
  </si>
  <si>
    <t>Ca, Cu</t>
  </si>
  <si>
    <t>SOP#</t>
  </si>
  <si>
    <t>Acid Cocktail</t>
  </si>
  <si>
    <t>Rack</t>
  </si>
  <si>
    <t>Vessel</t>
  </si>
  <si>
    <t>Stir</t>
  </si>
  <si>
    <t>Time (min)</t>
  </si>
  <si>
    <t>Power (W)</t>
  </si>
  <si>
    <t>T1 (C)</t>
  </si>
  <si>
    <t>T2 (C)</t>
  </si>
  <si>
    <t>P (bar)</t>
  </si>
  <si>
    <t>sample(s)</t>
  </si>
  <si>
    <t>weight (g)</t>
  </si>
  <si>
    <t>volume (mL)</t>
  </si>
  <si>
    <t>200126511_1</t>
  </si>
  <si>
    <t>200126511_2</t>
  </si>
  <si>
    <t>200126512_1</t>
  </si>
  <si>
    <t>200126512_2</t>
  </si>
  <si>
    <t>Katanax</t>
  </si>
  <si>
    <t>Ti</t>
  </si>
  <si>
    <t>Hotplate</t>
  </si>
  <si>
    <t>Au, Ag</t>
  </si>
  <si>
    <t>200126513_1</t>
  </si>
  <si>
    <t>200126513_2</t>
  </si>
  <si>
    <t>sample</t>
  </si>
  <si>
    <t>Dilution</t>
  </si>
  <si>
    <t>conc. [mg/L]</t>
  </si>
  <si>
    <t>Ca_ppm</t>
  </si>
  <si>
    <t>%Ca</t>
  </si>
  <si>
    <t>Cu_ppm</t>
  </si>
  <si>
    <t>%Cu</t>
  </si>
  <si>
    <t>Ti_ppm</t>
  </si>
  <si>
    <t>%Ti</t>
  </si>
  <si>
    <t>Au_ppm</t>
  </si>
  <si>
    <t>%Au</t>
  </si>
  <si>
    <t>Ag_ppm</t>
  </si>
  <si>
    <t>%Ag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</si>
</sst>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0"/>
  <sheetViews>
    <sheetView workbookViewId="0"/>
  </sheetViews>
  <sheetFormatPr defaultRowHeight="14.4" x14ac:dyDescent="0.3"/>
  <cols>
    <col min="1" max="1" width="13.6640625" customWidth="1"/>
    <col min="2" max="2" width="10.6640625" customWidth="1"/>
    <col min="3" max="3" width="11.6640625" customWidth="1"/>
  </cols>
  <sheetData>
    <row r="1" spans="1:5" x14ac:dyDescent="0.3">
      <c r="A1" s="1" t="s">
        <v>0</v>
      </c>
      <c r="B1" s="2">
        <v>46133</v>
      </c>
    </row>
    <row r="2" spans="1:5" x14ac:dyDescent="0.3">
      <c r="A2" s="1" t="s">
        <v>1</v>
      </c>
      <c r="B2" t="s">
        <v>2</v>
      </c>
    </row>
    <row r="5" spans="1:5" x14ac:dyDescent="0.3">
      <c r="A5" s="6" t="s">
        <v>3</v>
      </c>
      <c r="B5" s="6"/>
      <c r="C5" s="6"/>
      <c r="D5" s="6"/>
      <c r="E5" s="6"/>
    </row>
    <row r="6" spans="1:5" x14ac:dyDescent="0.3">
      <c r="A6" s="3" t="s">
        <v>4</v>
      </c>
      <c r="B6" s="7" t="s">
        <v>5</v>
      </c>
      <c r="C6" s="7"/>
      <c r="D6" s="7"/>
      <c r="E6" s="7"/>
    </row>
    <row r="7" spans="1:5" x14ac:dyDescent="0.3">
      <c r="A7" s="3" t="s">
        <v>6</v>
      </c>
      <c r="B7" s="7"/>
      <c r="C7" s="7"/>
      <c r="D7" s="7"/>
      <c r="E7" s="7"/>
    </row>
    <row r="8" spans="1:5" x14ac:dyDescent="0.3">
      <c r="A8" s="3" t="s">
        <v>7</v>
      </c>
      <c r="B8" s="7"/>
      <c r="C8" s="7"/>
      <c r="D8" s="7"/>
      <c r="E8" s="7"/>
    </row>
    <row r="9" spans="1:5" x14ac:dyDescent="0.3">
      <c r="A9" s="3" t="s">
        <v>8</v>
      </c>
      <c r="B9" s="7"/>
      <c r="C9" s="7"/>
      <c r="D9" s="7"/>
      <c r="E9" s="7"/>
    </row>
    <row r="10" spans="1:5" x14ac:dyDescent="0.3">
      <c r="A10" s="3" t="s">
        <v>9</v>
      </c>
      <c r="B10" s="7"/>
      <c r="C10" s="7"/>
      <c r="D10" s="7"/>
      <c r="E10" s="7"/>
    </row>
    <row r="11" spans="1:5" x14ac:dyDescent="0.3">
      <c r="A11" s="3" t="s">
        <v>10</v>
      </c>
      <c r="B11" s="7"/>
      <c r="C11" s="7"/>
      <c r="D11" s="7"/>
      <c r="E11" s="7"/>
    </row>
    <row r="12" spans="1:5" x14ac:dyDescent="0.3">
      <c r="A12" s="3" t="s">
        <v>11</v>
      </c>
      <c r="B12" s="3" t="s">
        <v>12</v>
      </c>
      <c r="C12" s="3" t="s">
        <v>13</v>
      </c>
      <c r="D12" s="3" t="s">
        <v>14</v>
      </c>
      <c r="E12" s="3" t="s">
        <v>15</v>
      </c>
    </row>
    <row r="13" spans="1:5" x14ac:dyDescent="0.3">
      <c r="A13" s="4"/>
      <c r="B13" s="4"/>
      <c r="C13" s="4"/>
      <c r="D13" s="4"/>
      <c r="E13" s="4"/>
    </row>
    <row r="14" spans="1:5" x14ac:dyDescent="0.3">
      <c r="A14" s="4"/>
      <c r="B14" s="4"/>
      <c r="C14" s="4"/>
      <c r="D14" s="4"/>
      <c r="E14" s="4"/>
    </row>
    <row r="15" spans="1:5" x14ac:dyDescent="0.3">
      <c r="A15" s="4"/>
      <c r="B15" s="4"/>
      <c r="C15" s="4"/>
      <c r="D15" s="4"/>
      <c r="E15" s="4"/>
    </row>
    <row r="16" spans="1:5" x14ac:dyDescent="0.3">
      <c r="A16" s="3" t="s">
        <v>16</v>
      </c>
      <c r="B16" s="3" t="s">
        <v>17</v>
      </c>
      <c r="C16" s="3" t="s">
        <v>18</v>
      </c>
    </row>
    <row r="17" spans="1:3" x14ac:dyDescent="0.3">
      <c r="A17" s="3" t="s">
        <v>19</v>
      </c>
      <c r="B17" s="4"/>
      <c r="C17" s="4"/>
    </row>
    <row r="18" spans="1:3" x14ac:dyDescent="0.3">
      <c r="A18" s="3" t="s">
        <v>20</v>
      </c>
      <c r="B18" s="4"/>
      <c r="C18" s="4"/>
    </row>
    <row r="19" spans="1:3" x14ac:dyDescent="0.3">
      <c r="A19" s="3" t="s">
        <v>21</v>
      </c>
      <c r="B19" s="4"/>
      <c r="C19" s="4"/>
    </row>
    <row r="20" spans="1:3" x14ac:dyDescent="0.3">
      <c r="A20" s="3" t="s">
        <v>22</v>
      </c>
      <c r="B20" s="4"/>
      <c r="C20" s="4"/>
    </row>
    <row r="23" spans="1:3" x14ac:dyDescent="0.3">
      <c r="A23" s="6" t="s">
        <v>23</v>
      </c>
      <c r="B23" s="6"/>
      <c r="C23" s="6"/>
    </row>
    <row r="24" spans="1:3" x14ac:dyDescent="0.3">
      <c r="A24" s="3" t="s">
        <v>4</v>
      </c>
      <c r="B24" s="7" t="s">
        <v>24</v>
      </c>
      <c r="C24" s="7"/>
    </row>
    <row r="25" spans="1:3" x14ac:dyDescent="0.3">
      <c r="A25" s="3" t="s">
        <v>6</v>
      </c>
      <c r="B25" s="7"/>
      <c r="C25" s="7"/>
    </row>
    <row r="26" spans="1:3" x14ac:dyDescent="0.3">
      <c r="A26" s="3" t="s">
        <v>7</v>
      </c>
      <c r="B26" s="7"/>
      <c r="C26" s="7"/>
    </row>
    <row r="27" spans="1:3" x14ac:dyDescent="0.3">
      <c r="A27" s="3" t="s">
        <v>16</v>
      </c>
      <c r="B27" s="3" t="s">
        <v>17</v>
      </c>
      <c r="C27" s="3" t="s">
        <v>18</v>
      </c>
    </row>
    <row r="28" spans="1:3" x14ac:dyDescent="0.3">
      <c r="A28" s="3" t="s">
        <v>21</v>
      </c>
      <c r="B28" s="4"/>
      <c r="C28" s="4">
        <v>250</v>
      </c>
    </row>
    <row r="29" spans="1:3" x14ac:dyDescent="0.3">
      <c r="A29" s="3" t="s">
        <v>22</v>
      </c>
      <c r="B29" s="4"/>
      <c r="C29" s="4">
        <v>250</v>
      </c>
    </row>
    <row r="32" spans="1:3" x14ac:dyDescent="0.3">
      <c r="A32" s="6" t="s">
        <v>25</v>
      </c>
      <c r="B32" s="6"/>
      <c r="C32" s="6"/>
    </row>
    <row r="33" spans="1:3" x14ac:dyDescent="0.3">
      <c r="A33" s="3" t="s">
        <v>4</v>
      </c>
      <c r="B33" s="7" t="s">
        <v>26</v>
      </c>
      <c r="C33" s="7"/>
    </row>
    <row r="34" spans="1:3" x14ac:dyDescent="0.3">
      <c r="A34" s="3" t="s">
        <v>6</v>
      </c>
      <c r="B34" s="7"/>
      <c r="C34" s="7"/>
    </row>
    <row r="35" spans="1:3" x14ac:dyDescent="0.3">
      <c r="A35" s="3" t="s">
        <v>7</v>
      </c>
      <c r="B35" s="7"/>
      <c r="C35" s="7"/>
    </row>
    <row r="36" spans="1:3" x14ac:dyDescent="0.3">
      <c r="A36" s="3" t="s">
        <v>16</v>
      </c>
      <c r="B36" s="3" t="s">
        <v>17</v>
      </c>
      <c r="C36" s="3" t="s">
        <v>18</v>
      </c>
    </row>
    <row r="37" spans="1:3" x14ac:dyDescent="0.3">
      <c r="A37" s="3" t="s">
        <v>21</v>
      </c>
      <c r="B37" s="4"/>
      <c r="C37" s="4"/>
    </row>
    <row r="38" spans="1:3" x14ac:dyDescent="0.3">
      <c r="A38" s="3" t="s">
        <v>22</v>
      </c>
      <c r="B38" s="4"/>
      <c r="C38" s="4"/>
    </row>
    <row r="39" spans="1:3" x14ac:dyDescent="0.3">
      <c r="A39" s="3" t="s">
        <v>27</v>
      </c>
      <c r="B39" s="4"/>
      <c r="C39" s="4"/>
    </row>
    <row r="40" spans="1:3" x14ac:dyDescent="0.3">
      <c r="A40" s="3" t="s">
        <v>28</v>
      </c>
      <c r="B40" s="4"/>
      <c r="C40" s="4"/>
    </row>
  </sheetData>
  <mergeCells count="15">
    <mergeCell ref="B26:C26"/>
    <mergeCell ref="A32:C32"/>
    <mergeCell ref="B33:C33"/>
    <mergeCell ref="B34:C34"/>
    <mergeCell ref="B35:C35"/>
    <mergeCell ref="B10:E10"/>
    <mergeCell ref="B11:E11"/>
    <mergeCell ref="A23:C23"/>
    <mergeCell ref="B24:C24"/>
    <mergeCell ref="B25:C25"/>
    <mergeCell ref="A5:E5"/>
    <mergeCell ref="B6:E6"/>
    <mergeCell ref="B7:E7"/>
    <mergeCell ref="B8:E8"/>
    <mergeCell ref="B9:E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2"/>
  <sheetViews>
    <sheetView workbookViewId="0"/>
  </sheetViews>
  <sheetFormatPr defaultRowHeight="14.4" x14ac:dyDescent="0.3"/>
  <cols>
    <col min="1" max="1" width="11.6640625" customWidth="1"/>
    <col min="3" max="3" width="12.6640625" customWidth="1"/>
  </cols>
  <sheetData>
    <row r="1" spans="1:8" x14ac:dyDescent="0.3">
      <c r="A1" s="1" t="s">
        <v>0</v>
      </c>
      <c r="B1" s="2">
        <v>46133</v>
      </c>
    </row>
    <row r="2" spans="1:8" x14ac:dyDescent="0.3">
      <c r="A2" s="1" t="s">
        <v>1</v>
      </c>
      <c r="B2" t="s">
        <v>2</v>
      </c>
    </row>
    <row r="5" spans="1:8" x14ac:dyDescent="0.3">
      <c r="A5" s="3" t="s">
        <v>29</v>
      </c>
      <c r="B5" s="3" t="s">
        <v>30</v>
      </c>
      <c r="C5" s="3" t="s">
        <v>31</v>
      </c>
      <c r="D5" s="5" t="s">
        <v>32</v>
      </c>
      <c r="E5" s="5" t="s">
        <v>33</v>
      </c>
    </row>
    <row r="6" spans="1:8" x14ac:dyDescent="0.3">
      <c r="A6" s="3" t="s">
        <v>19</v>
      </c>
      <c r="B6" s="4" t="str">
        <f>"1/1"</f>
        <v>1/1</v>
      </c>
      <c r="C6" s="4"/>
      <c r="D6" s="4"/>
      <c r="E6" s="4"/>
      <c r="G6">
        <f>Digestion!B17</f>
        <v>0</v>
      </c>
      <c r="H6">
        <f>Digestion!C17</f>
        <v>0</v>
      </c>
    </row>
    <row r="7" spans="1:8" x14ac:dyDescent="0.3">
      <c r="A7" s="3" t="s">
        <v>20</v>
      </c>
      <c r="B7" s="4" t="str">
        <f>"1/1"</f>
        <v>1/1</v>
      </c>
      <c r="C7" s="4"/>
      <c r="D7" s="4"/>
      <c r="E7" s="4"/>
      <c r="G7">
        <f>Digestion!B18</f>
        <v>0</v>
      </c>
      <c r="H7">
        <f>Digestion!C18</f>
        <v>0</v>
      </c>
    </row>
    <row r="10" spans="1:8" x14ac:dyDescent="0.3">
      <c r="A10" s="3" t="s">
        <v>29</v>
      </c>
      <c r="B10" s="3" t="s">
        <v>30</v>
      </c>
      <c r="C10" s="3" t="s">
        <v>31</v>
      </c>
      <c r="D10" s="5" t="s">
        <v>34</v>
      </c>
      <c r="E10" s="5" t="s">
        <v>35</v>
      </c>
    </row>
    <row r="11" spans="1:8" x14ac:dyDescent="0.3">
      <c r="A11" s="3" t="s">
        <v>19</v>
      </c>
      <c r="B11" s="4" t="str">
        <f>"1/1"</f>
        <v>1/1</v>
      </c>
      <c r="C11" s="4"/>
      <c r="D11" s="4"/>
      <c r="E11" s="4"/>
      <c r="G11">
        <f>Digestion!B17</f>
        <v>0</v>
      </c>
      <c r="H11">
        <f>Digestion!C17</f>
        <v>0</v>
      </c>
    </row>
    <row r="12" spans="1:8" x14ac:dyDescent="0.3">
      <c r="A12" s="3" t="s">
        <v>20</v>
      </c>
      <c r="B12" s="4" t="str">
        <f>"1/1"</f>
        <v>1/1</v>
      </c>
      <c r="C12" s="4"/>
      <c r="D12" s="4"/>
      <c r="E12" s="4"/>
      <c r="G12">
        <f>Digestion!B18</f>
        <v>0</v>
      </c>
      <c r="H12">
        <f>Digestion!C18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7"/>
  <sheetViews>
    <sheetView tabSelected="1" workbookViewId="0">
      <selection activeCell="I16" sqref="I16"/>
    </sheetView>
  </sheetViews>
  <sheetFormatPr defaultRowHeight="14.4" x14ac:dyDescent="0.3"/>
  <cols>
    <col min="1" max="1" width="11.6640625" customWidth="1"/>
    <col min="2" max="2" width="10.33203125" bestFit="1" customWidth="1"/>
    <col min="3" max="3" width="12.6640625" customWidth="1"/>
  </cols>
  <sheetData>
    <row r="1" spans="1:8" x14ac:dyDescent="0.3">
      <c r="A1" s="1" t="s">
        <v>0</v>
      </c>
      <c r="B1" s="2">
        <v>46133</v>
      </c>
    </row>
    <row r="2" spans="1:8" x14ac:dyDescent="0.3">
      <c r="A2" s="1" t="s">
        <v>1</v>
      </c>
      <c r="B2" t="s">
        <v>2</v>
      </c>
    </row>
    <row r="5" spans="1:8" x14ac:dyDescent="0.3">
      <c r="A5" s="3" t="s">
        <v>29</v>
      </c>
      <c r="B5" s="3" t="s">
        <v>30</v>
      </c>
      <c r="C5" s="3" t="s">
        <v>31</v>
      </c>
      <c r="D5" s="5" t="s">
        <v>32</v>
      </c>
      <c r="E5" s="5" t="s">
        <v>33</v>
      </c>
    </row>
    <row r="6" spans="1:8" x14ac:dyDescent="0.3">
      <c r="A6" s="3" t="s">
        <v>21</v>
      </c>
      <c r="B6" s="4" t="str">
        <f>"1/1"</f>
        <v>1/1</v>
      </c>
      <c r="C6" s="4"/>
      <c r="D6" s="4"/>
      <c r="E6" s="4"/>
      <c r="G6">
        <f>Digestion!B19</f>
        <v>0</v>
      </c>
      <c r="H6">
        <f>Digestion!C19</f>
        <v>0</v>
      </c>
    </row>
    <row r="7" spans="1:8" x14ac:dyDescent="0.3">
      <c r="A7" s="3" t="s">
        <v>22</v>
      </c>
      <c r="B7" s="4" t="str">
        <f>"1/1"</f>
        <v>1/1</v>
      </c>
      <c r="C7" s="4"/>
      <c r="D7" s="4"/>
      <c r="E7" s="4"/>
      <c r="G7">
        <f>Digestion!B20</f>
        <v>0</v>
      </c>
      <c r="H7">
        <f>Digestion!C20</f>
        <v>0</v>
      </c>
    </row>
    <row r="10" spans="1:8" x14ac:dyDescent="0.3">
      <c r="A10" s="3" t="s">
        <v>29</v>
      </c>
      <c r="B10" s="3" t="s">
        <v>30</v>
      </c>
      <c r="C10" s="3" t="s">
        <v>31</v>
      </c>
      <c r="D10" s="5" t="s">
        <v>34</v>
      </c>
      <c r="E10" s="5" t="s">
        <v>35</v>
      </c>
    </row>
    <row r="11" spans="1:8" x14ac:dyDescent="0.3">
      <c r="A11" s="3" t="s">
        <v>21</v>
      </c>
      <c r="B11" s="4" t="str">
        <f>"1/1"</f>
        <v>1/1</v>
      </c>
      <c r="C11" s="4"/>
      <c r="D11" s="4"/>
      <c r="E11" s="4"/>
      <c r="G11">
        <f>Digestion!B19</f>
        <v>0</v>
      </c>
      <c r="H11">
        <f>Digestion!C19</f>
        <v>0</v>
      </c>
    </row>
    <row r="12" spans="1:8" x14ac:dyDescent="0.3">
      <c r="A12" s="3" t="s">
        <v>22</v>
      </c>
      <c r="B12" s="4" t="str">
        <f>"1/1"</f>
        <v>1/1</v>
      </c>
      <c r="C12" s="4"/>
      <c r="D12" s="4"/>
      <c r="E12" s="4"/>
      <c r="G12">
        <f>Digestion!B20</f>
        <v>0</v>
      </c>
      <c r="H12">
        <f>Digestion!C20</f>
        <v>0</v>
      </c>
    </row>
    <row r="15" spans="1:8" x14ac:dyDescent="0.3">
      <c r="A15" s="3" t="s">
        <v>29</v>
      </c>
      <c r="B15" s="3" t="s">
        <v>30</v>
      </c>
      <c r="C15" s="3" t="s">
        <v>31</v>
      </c>
      <c r="D15" s="5" t="s">
        <v>36</v>
      </c>
      <c r="E15" s="5" t="s">
        <v>37</v>
      </c>
    </row>
    <row r="16" spans="1:8" x14ac:dyDescent="0.3">
      <c r="A16" s="3" t="s">
        <v>21</v>
      </c>
      <c r="B16" s="4" t="str">
        <f>"1/1"</f>
        <v>1/1</v>
      </c>
      <c r="C16" s="4"/>
      <c r="D16" s="4"/>
      <c r="E16" s="4"/>
      <c r="G16">
        <f>Digestion!B28</f>
        <v>0</v>
      </c>
      <c r="H16">
        <f>Digestion!C28</f>
        <v>250</v>
      </c>
    </row>
    <row r="17" spans="1:8" x14ac:dyDescent="0.3">
      <c r="A17" s="3" t="s">
        <v>22</v>
      </c>
      <c r="B17" s="4" t="str">
        <f>"1/1"</f>
        <v>1/1</v>
      </c>
      <c r="C17" s="4"/>
      <c r="D17" s="4"/>
      <c r="E17" s="4"/>
      <c r="G17">
        <f>Digestion!B29</f>
        <v>0</v>
      </c>
      <c r="H17">
        <f>Digestion!C29</f>
        <v>250</v>
      </c>
    </row>
    <row r="20" spans="1:8" x14ac:dyDescent="0.3">
      <c r="A20" s="3" t="s">
        <v>29</v>
      </c>
      <c r="B20" s="3" t="s">
        <v>30</v>
      </c>
      <c r="C20" s="3" t="s">
        <v>31</v>
      </c>
      <c r="D20" s="5" t="s">
        <v>38</v>
      </c>
      <c r="E20" s="5" t="s">
        <v>39</v>
      </c>
    </row>
    <row r="21" spans="1:8" x14ac:dyDescent="0.3">
      <c r="A21" s="3" t="s">
        <v>21</v>
      </c>
      <c r="B21" s="4" t="str">
        <f>"1/1"</f>
        <v>1/1</v>
      </c>
      <c r="C21" s="4"/>
      <c r="D21" s="4"/>
      <c r="E21" s="4"/>
      <c r="G21">
        <f>Digestion!B37</f>
        <v>0</v>
      </c>
      <c r="H21">
        <f>Digestion!C37</f>
        <v>0</v>
      </c>
    </row>
    <row r="22" spans="1:8" x14ac:dyDescent="0.3">
      <c r="A22" s="3" t="s">
        <v>22</v>
      </c>
      <c r="B22" s="4" t="str">
        <f>"1/1"</f>
        <v>1/1</v>
      </c>
      <c r="C22" s="4"/>
      <c r="D22" s="4"/>
      <c r="E22" s="4"/>
      <c r="G22">
        <f>Digestion!B38</f>
        <v>0</v>
      </c>
      <c r="H22">
        <f>Digestion!C38</f>
        <v>0</v>
      </c>
    </row>
    <row r="25" spans="1:8" x14ac:dyDescent="0.3">
      <c r="A25" s="3" t="s">
        <v>29</v>
      </c>
      <c r="B25" s="3" t="s">
        <v>30</v>
      </c>
      <c r="C25" s="3" t="s">
        <v>31</v>
      </c>
      <c r="D25" s="5" t="s">
        <v>40</v>
      </c>
      <c r="E25" s="5" t="s">
        <v>41</v>
      </c>
    </row>
    <row r="26" spans="1:8" x14ac:dyDescent="0.3">
      <c r="A26" s="3" t="s">
        <v>21</v>
      </c>
      <c r="B26" s="4" t="str">
        <f>"1/1"</f>
        <v>1/1</v>
      </c>
      <c r="C26" s="4"/>
      <c r="D26" s="4"/>
      <c r="E26" s="4"/>
      <c r="G26">
        <f>Digestion!B37</f>
        <v>0</v>
      </c>
      <c r="H26">
        <f>Digestion!C37</f>
        <v>0</v>
      </c>
    </row>
    <row r="27" spans="1:8" x14ac:dyDescent="0.3">
      <c r="A27" s="3" t="s">
        <v>22</v>
      </c>
      <c r="B27" s="4" t="str">
        <f>"1/1"</f>
        <v>1/1</v>
      </c>
      <c r="C27" s="4"/>
      <c r="D27" s="4"/>
      <c r="E27" s="4"/>
      <c r="G27">
        <f>Digestion!B38</f>
        <v>0</v>
      </c>
      <c r="H27">
        <f>Digestion!C38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2"/>
  <sheetViews>
    <sheetView workbookViewId="0"/>
  </sheetViews>
  <sheetFormatPr defaultRowHeight="14.4" x14ac:dyDescent="0.3"/>
  <cols>
    <col min="1" max="1" width="11.6640625" customWidth="1"/>
    <col min="3" max="3" width="12.6640625" customWidth="1"/>
  </cols>
  <sheetData>
    <row r="1" spans="1:8" x14ac:dyDescent="0.3">
      <c r="A1" s="1" t="s">
        <v>0</v>
      </c>
      <c r="B1" s="2">
        <v>46133</v>
      </c>
    </row>
    <row r="2" spans="1:8" x14ac:dyDescent="0.3">
      <c r="A2" s="1" t="s">
        <v>1</v>
      </c>
      <c r="B2" t="s">
        <v>2</v>
      </c>
    </row>
    <row r="5" spans="1:8" x14ac:dyDescent="0.3">
      <c r="A5" s="3" t="s">
        <v>29</v>
      </c>
      <c r="B5" s="3" t="s">
        <v>30</v>
      </c>
      <c r="C5" s="3" t="s">
        <v>31</v>
      </c>
      <c r="D5" s="5" t="s">
        <v>38</v>
      </c>
      <c r="E5" s="5" t="s">
        <v>39</v>
      </c>
    </row>
    <row r="6" spans="1:8" x14ac:dyDescent="0.3">
      <c r="A6" s="3" t="s">
        <v>27</v>
      </c>
      <c r="B6" s="4" t="str">
        <f>"1/1"</f>
        <v>1/1</v>
      </c>
      <c r="C6" s="4"/>
      <c r="D6" s="4"/>
      <c r="E6" s="4"/>
      <c r="G6">
        <f>Digestion!B39</f>
        <v>0</v>
      </c>
      <c r="H6">
        <f>Digestion!C39</f>
        <v>0</v>
      </c>
    </row>
    <row r="7" spans="1:8" x14ac:dyDescent="0.3">
      <c r="A7" s="3" t="s">
        <v>28</v>
      </c>
      <c r="B7" s="4" t="str">
        <f>"1/1"</f>
        <v>1/1</v>
      </c>
      <c r="C7" s="4"/>
      <c r="D7" s="4"/>
      <c r="E7" s="4"/>
      <c r="G7">
        <f>Digestion!B40</f>
        <v>0</v>
      </c>
      <c r="H7">
        <f>Digestion!C40</f>
        <v>0</v>
      </c>
    </row>
    <row r="10" spans="1:8" x14ac:dyDescent="0.3">
      <c r="A10" s="3" t="s">
        <v>29</v>
      </c>
      <c r="B10" s="3" t="s">
        <v>30</v>
      </c>
      <c r="C10" s="3" t="s">
        <v>31</v>
      </c>
      <c r="D10" s="5" t="s">
        <v>40</v>
      </c>
      <c r="E10" s="5" t="s">
        <v>41</v>
      </c>
    </row>
    <row r="11" spans="1:8" x14ac:dyDescent="0.3">
      <c r="A11" s="3" t="s">
        <v>27</v>
      </c>
      <c r="B11" s="4" t="str">
        <f>"1/1"</f>
        <v>1/1</v>
      </c>
      <c r="C11" s="4"/>
      <c r="D11" s="4"/>
      <c r="E11" s="4"/>
      <c r="G11">
        <f>Digestion!B39</f>
        <v>0</v>
      </c>
      <c r="H11">
        <f>Digestion!C39</f>
        <v>0</v>
      </c>
    </row>
    <row r="12" spans="1:8" x14ac:dyDescent="0.3">
      <c r="A12" s="3" t="s">
        <v>28</v>
      </c>
      <c r="B12" s="4" t="str">
        <f>"1/1"</f>
        <v>1/1</v>
      </c>
      <c r="C12" s="4"/>
      <c r="D12" s="4"/>
      <c r="E12" s="4"/>
      <c r="G12">
        <f>Digestion!B40</f>
        <v>0</v>
      </c>
      <c r="H12">
        <f>Digestion!C40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</vt:lpstr>
      <vt:lpstr>200126511</vt:lpstr>
      <vt:lpstr>200126512</vt:lpstr>
      <vt:lpstr>200126513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Archemetre, Carl P.</cp:lastModifiedBy>
  <dcterms:created xsi:type="dcterms:W3CDTF">2026-04-22T01:01:05Z</dcterms:created>
  <dcterms:modified xsi:type="dcterms:W3CDTF">2026-04-22T04:16:29Z</dcterms:modified>
</cp:coreProperties>
</file>