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" sheetId="1" r:id="rId1"/>
    <sheet name="200127586" sheetId="2" r:id="rId2"/>
    <sheet name="200127587" sheetId="3" r:id="rId3"/>
    <sheet name="200127588" sheetId="4" r:id="rId4"/>
  </sheets>
  <calcPr calcId="124519" fullCalcOnLoad="1"/>
</workbook>
</file>

<file path=xl/sharedStrings.xml><?xml version="1.0" encoding="utf-8"?>
<sst xmlns="http://schemas.openxmlformats.org/spreadsheetml/2006/main" count="108" uniqueCount="40">
  <si>
    <t>Date:</t>
  </si>
  <si>
    <t>Request ID:</t>
  </si>
  <si>
    <t>Microwave</t>
  </si>
  <si>
    <t>Element(s)</t>
  </si>
  <si>
    <t>Ca, Cu</t>
  </si>
  <si>
    <t>SOP#</t>
  </si>
  <si>
    <t>Acid Cocktail</t>
  </si>
  <si>
    <t>Rack</t>
  </si>
  <si>
    <t>Vessel</t>
  </si>
  <si>
    <t>Stir</t>
  </si>
  <si>
    <t>Time (min)</t>
  </si>
  <si>
    <t>Power (W)</t>
  </si>
  <si>
    <t>T1 (C)</t>
  </si>
  <si>
    <t>T2 (C)</t>
  </si>
  <si>
    <t>P (bar)</t>
  </si>
  <si>
    <t>sample(s)</t>
  </si>
  <si>
    <t>weight (g)</t>
  </si>
  <si>
    <t>volume (mL)</t>
  </si>
  <si>
    <t>200127586_1</t>
  </si>
  <si>
    <t>200127586_2</t>
  </si>
  <si>
    <t>200127586_3</t>
  </si>
  <si>
    <t>200127587_1</t>
  </si>
  <si>
    <t>200127587_2</t>
  </si>
  <si>
    <t>200127587_3</t>
  </si>
  <si>
    <t>Katanax</t>
  </si>
  <si>
    <t>Ti, Si</t>
  </si>
  <si>
    <t>200127588_1</t>
  </si>
  <si>
    <t>200127588_2</t>
  </si>
  <si>
    <t>200127588_3</t>
  </si>
  <si>
    <t>sample</t>
  </si>
  <si>
    <t>Dilution</t>
  </si>
  <si>
    <t>conc. [mg/L]</t>
  </si>
  <si>
    <t>Ca_ppm</t>
  </si>
  <si>
    <t>%Ca</t>
  </si>
  <si>
    <t>Cu_ppm</t>
  </si>
  <si>
    <t>%Cu</t>
  </si>
  <si>
    <t>Ti_ppm</t>
  </si>
  <si>
    <t>%Ti</t>
  </si>
  <si>
    <t>Si_ppm</t>
  </si>
  <si>
    <t>%Si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</si>
</sst>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tabSelected="1" workbookViewId="0"/>
  </sheetViews>
  <sheetFormatPr defaultRowHeight="15"/>
  <cols>
    <col min="1" max="1" width="12.7109375" customWidth="1"/>
    <col min="2" max="2" width="10.7109375" customWidth="1"/>
    <col min="3" max="3" width="11.7109375" customWidth="1"/>
  </cols>
  <sheetData>
    <row r="1" spans="1:5">
      <c r="A1" s="1" t="s">
        <v>0</v>
      </c>
      <c r="B1" s="2">
        <v>46134</v>
      </c>
    </row>
    <row r="2" spans="1:5">
      <c r="A2" s="1" t="s">
        <v>1</v>
      </c>
      <c r="B2">
        <v>100482511</v>
      </c>
    </row>
    <row r="5" spans="1:5">
      <c r="A5" s="3" t="s">
        <v>2</v>
      </c>
      <c r="B5" s="3"/>
      <c r="C5" s="3"/>
      <c r="D5" s="3"/>
      <c r="E5" s="3"/>
    </row>
    <row r="6" spans="1:5">
      <c r="A6" s="4" t="s">
        <v>3</v>
      </c>
      <c r="B6" s="5" t="s">
        <v>4</v>
      </c>
      <c r="C6" s="5"/>
      <c r="D6" s="5"/>
      <c r="E6" s="5"/>
    </row>
    <row r="7" spans="1:5">
      <c r="A7" s="4" t="s">
        <v>5</v>
      </c>
      <c r="B7" s="5"/>
      <c r="C7" s="5"/>
      <c r="D7" s="5"/>
      <c r="E7" s="5"/>
    </row>
    <row r="8" spans="1:5">
      <c r="A8" s="4" t="s">
        <v>6</v>
      </c>
      <c r="B8" s="5"/>
      <c r="C8" s="5"/>
      <c r="D8" s="5"/>
      <c r="E8" s="5"/>
    </row>
    <row r="9" spans="1:5">
      <c r="A9" s="4" t="s">
        <v>7</v>
      </c>
      <c r="B9" s="5"/>
      <c r="C9" s="5"/>
      <c r="D9" s="5"/>
      <c r="E9" s="5"/>
    </row>
    <row r="10" spans="1:5">
      <c r="A10" s="4" t="s">
        <v>8</v>
      </c>
      <c r="B10" s="5"/>
      <c r="C10" s="5"/>
      <c r="D10" s="5"/>
      <c r="E10" s="5"/>
    </row>
    <row r="11" spans="1:5">
      <c r="A11" s="4" t="s">
        <v>9</v>
      </c>
      <c r="B11" s="5"/>
      <c r="C11" s="5"/>
      <c r="D11" s="5"/>
      <c r="E11" s="5"/>
    </row>
    <row r="12" spans="1:5">
      <c r="A12" s="4" t="s">
        <v>10</v>
      </c>
      <c r="B12" s="4" t="s">
        <v>11</v>
      </c>
      <c r="C12" s="4" t="s">
        <v>12</v>
      </c>
      <c r="D12" s="4" t="s">
        <v>13</v>
      </c>
      <c r="E12" s="4" t="s">
        <v>14</v>
      </c>
    </row>
    <row r="13" spans="1:5">
      <c r="A13" s="5"/>
      <c r="B13" s="5"/>
      <c r="C13" s="5"/>
      <c r="D13" s="5"/>
      <c r="E13" s="5"/>
    </row>
    <row r="14" spans="1:5">
      <c r="A14" s="5"/>
      <c r="B14" s="5"/>
      <c r="C14" s="5"/>
      <c r="D14" s="5"/>
      <c r="E14" s="5"/>
    </row>
    <row r="15" spans="1:5">
      <c r="A15" s="5"/>
      <c r="B15" s="5"/>
      <c r="C15" s="5"/>
      <c r="D15" s="5"/>
      <c r="E15" s="5"/>
    </row>
    <row r="16" spans="1:5">
      <c r="A16" s="4" t="s">
        <v>15</v>
      </c>
      <c r="B16" s="4" t="s">
        <v>16</v>
      </c>
      <c r="C16" s="4" t="s">
        <v>17</v>
      </c>
    </row>
    <row r="17" spans="1:3">
      <c r="A17" s="4" t="s">
        <v>18</v>
      </c>
      <c r="B17" s="5"/>
      <c r="C17" s="5"/>
    </row>
    <row r="18" spans="1:3">
      <c r="A18" s="4" t="s">
        <v>19</v>
      </c>
      <c r="B18" s="5"/>
      <c r="C18" s="5"/>
    </row>
    <row r="19" spans="1:3">
      <c r="A19" s="4" t="s">
        <v>20</v>
      </c>
      <c r="B19" s="5"/>
      <c r="C19" s="5"/>
    </row>
    <row r="20" spans="1:3">
      <c r="A20" s="4" t="s">
        <v>21</v>
      </c>
      <c r="B20" s="5"/>
      <c r="C20" s="5"/>
    </row>
    <row r="21" spans="1:3">
      <c r="A21" s="4" t="s">
        <v>22</v>
      </c>
      <c r="B21" s="5"/>
      <c r="C21" s="5"/>
    </row>
    <row r="22" spans="1:3">
      <c r="A22" s="4" t="s">
        <v>23</v>
      </c>
      <c r="B22" s="5"/>
      <c r="C22" s="5"/>
    </row>
    <row r="25" spans="1:3">
      <c r="A25" s="3" t="s">
        <v>24</v>
      </c>
      <c r="B25" s="3"/>
      <c r="C25" s="3"/>
    </row>
    <row r="26" spans="1:3">
      <c r="A26" s="4" t="s">
        <v>3</v>
      </c>
      <c r="B26" s="5" t="s">
        <v>25</v>
      </c>
      <c r="C26" s="5"/>
    </row>
    <row r="27" spans="1:3">
      <c r="A27" s="4" t="s">
        <v>5</v>
      </c>
      <c r="B27" s="5"/>
      <c r="C27" s="5"/>
    </row>
    <row r="28" spans="1:3">
      <c r="A28" s="4" t="s">
        <v>6</v>
      </c>
      <c r="B28" s="5"/>
      <c r="C28" s="5"/>
    </row>
    <row r="29" spans="1:3">
      <c r="A29" s="4" t="s">
        <v>15</v>
      </c>
      <c r="B29" s="4" t="s">
        <v>16</v>
      </c>
      <c r="C29" s="4" t="s">
        <v>17</v>
      </c>
    </row>
    <row r="30" spans="1:3">
      <c r="A30" s="4" t="s">
        <v>21</v>
      </c>
      <c r="B30" s="5"/>
      <c r="C30" s="5">
        <v>250</v>
      </c>
    </row>
    <row r="31" spans="1:3">
      <c r="A31" s="4" t="s">
        <v>22</v>
      </c>
      <c r="B31" s="5"/>
      <c r="C31" s="5">
        <v>250</v>
      </c>
    </row>
    <row r="32" spans="1:3">
      <c r="A32" s="4" t="s">
        <v>23</v>
      </c>
      <c r="B32" s="5"/>
      <c r="C32" s="5">
        <v>250</v>
      </c>
    </row>
    <row r="33" spans="1:3">
      <c r="A33" s="4" t="s">
        <v>26</v>
      </c>
      <c r="B33" s="5"/>
      <c r="C33" s="5">
        <v>250</v>
      </c>
    </row>
    <row r="34" spans="1:3">
      <c r="A34" s="4" t="s">
        <v>27</v>
      </c>
      <c r="B34" s="5"/>
      <c r="C34" s="5">
        <v>250</v>
      </c>
    </row>
    <row r="35" spans="1:3">
      <c r="A35" s="4" t="s">
        <v>28</v>
      </c>
      <c r="B35" s="5"/>
      <c r="C35" s="5">
        <v>250</v>
      </c>
    </row>
  </sheetData>
  <mergeCells count="11">
    <mergeCell ref="A5:E5"/>
    <mergeCell ref="B6:E6"/>
    <mergeCell ref="B7:E7"/>
    <mergeCell ref="B8:E8"/>
    <mergeCell ref="B9:E9"/>
    <mergeCell ref="B10:E10"/>
    <mergeCell ref="B11:E11"/>
    <mergeCell ref="A25:C25"/>
    <mergeCell ref="B26:C26"/>
    <mergeCell ref="B27:C27"/>
    <mergeCell ref="B28:C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4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9">
      <c r="A1" s="1" t="s">
        <v>0</v>
      </c>
      <c r="B1" s="2">
        <v>46134</v>
      </c>
    </row>
    <row r="2" spans="1:9">
      <c r="A2" s="1" t="s">
        <v>1</v>
      </c>
      <c r="B2">
        <v>100482511</v>
      </c>
    </row>
    <row r="5" spans="1:9">
      <c r="A5" s="4" t="s">
        <v>29</v>
      </c>
      <c r="B5" s="4" t="s">
        <v>30</v>
      </c>
      <c r="C5" s="4" t="s">
        <v>31</v>
      </c>
      <c r="D5" s="6" t="s">
        <v>32</v>
      </c>
      <c r="E5" s="6" t="s">
        <v>33</v>
      </c>
    </row>
    <row r="6" spans="1:9">
      <c r="A6" s="4" t="s">
        <v>18</v>
      </c>
      <c r="B6" s="5">
        <f>"1/1"</f>
        <v>0</v>
      </c>
      <c r="C6" s="5"/>
      <c r="D6" s="7">
        <f>((C6)*(H6)*(I6))/(G6)</f>
        <v>0</v>
      </c>
      <c r="E6" s="7">
        <f>D6/10000</f>
        <v>0</v>
      </c>
      <c r="G6">
        <f>Digestion!B17</f>
        <v>0</v>
      </c>
      <c r="H6">
        <f>Digestion!C17</f>
        <v>0</v>
      </c>
      <c r="I6">
        <f>(LEFT(B6,FIND("/",B6)-1)/RIGHT(B6,LEN(B6)-FIND("/", B6)))</f>
        <v>0</v>
      </c>
    </row>
    <row r="7" spans="1:9">
      <c r="A7" s="4" t="s">
        <v>19</v>
      </c>
      <c r="B7" s="5">
        <f>"1/1"</f>
        <v>0</v>
      </c>
      <c r="C7" s="5"/>
      <c r="D7" s="7">
        <f>((C7)*(H7)*(I7))/(G7)</f>
        <v>0</v>
      </c>
      <c r="E7" s="7">
        <f>D7/10000</f>
        <v>0</v>
      </c>
      <c r="G7">
        <f>Digestion!B18</f>
        <v>0</v>
      </c>
      <c r="H7">
        <f>Digestion!C18</f>
        <v>0</v>
      </c>
      <c r="I7">
        <f>(LEFT(B7,FIND("/",B7)-1)/RIGHT(B7,LEN(B7)-FIND("/", B7)))</f>
        <v>0</v>
      </c>
    </row>
    <row r="8" spans="1:9">
      <c r="A8" s="4" t="s">
        <v>20</v>
      </c>
      <c r="B8" s="5">
        <f>"1/1"</f>
        <v>0</v>
      </c>
      <c r="C8" s="5"/>
      <c r="D8" s="7">
        <f>((C8)*(H8)*(I8))/(G8)</f>
        <v>0</v>
      </c>
      <c r="E8" s="7">
        <f>D8/10000</f>
        <v>0</v>
      </c>
      <c r="G8">
        <f>Digestion!B19</f>
        <v>0</v>
      </c>
      <c r="H8">
        <f>Digestion!C19</f>
        <v>0</v>
      </c>
      <c r="I8">
        <f>(LEFT(B8,FIND("/",B8)-1)/RIGHT(B8,LEN(B8)-FIND("/", B8)))</f>
        <v>0</v>
      </c>
    </row>
    <row r="11" spans="1:9">
      <c r="A11" s="4" t="s">
        <v>29</v>
      </c>
      <c r="B11" s="4" t="s">
        <v>30</v>
      </c>
      <c r="C11" s="4" t="s">
        <v>31</v>
      </c>
      <c r="D11" s="6" t="s">
        <v>34</v>
      </c>
      <c r="E11" s="6" t="s">
        <v>35</v>
      </c>
    </row>
    <row r="12" spans="1:9">
      <c r="A12" s="4" t="s">
        <v>18</v>
      </c>
      <c r="B12" s="5">
        <f>"1/1"</f>
        <v>0</v>
      </c>
      <c r="C12" s="5"/>
      <c r="D12" s="7">
        <f>((C12)*(H12)*(I12))/(G12)</f>
        <v>0</v>
      </c>
      <c r="E12" s="7">
        <f>D12/10000</f>
        <v>0</v>
      </c>
      <c r="G12">
        <f>Digestion!B17</f>
        <v>0</v>
      </c>
      <c r="H12">
        <f>Digestion!C17</f>
        <v>0</v>
      </c>
      <c r="I12">
        <f>(LEFT(B12,FIND("/",B12)-1)/RIGHT(B12,LEN(B12)-FIND("/", B12)))</f>
        <v>0</v>
      </c>
    </row>
    <row r="13" spans="1:9">
      <c r="A13" s="4" t="s">
        <v>19</v>
      </c>
      <c r="B13" s="5">
        <f>"1/1"</f>
        <v>0</v>
      </c>
      <c r="C13" s="5"/>
      <c r="D13" s="7">
        <f>((C13)*(H13)*(I13))/(G13)</f>
        <v>0</v>
      </c>
      <c r="E13" s="7">
        <f>D13/10000</f>
        <v>0</v>
      </c>
      <c r="G13">
        <f>Digestion!B18</f>
        <v>0</v>
      </c>
      <c r="H13">
        <f>Digestion!C18</f>
        <v>0</v>
      </c>
      <c r="I13">
        <f>(LEFT(B13,FIND("/",B13)-1)/RIGHT(B13,LEN(B13)-FIND("/", B13)))</f>
        <v>0</v>
      </c>
    </row>
    <row r="14" spans="1:9">
      <c r="A14" s="4" t="s">
        <v>20</v>
      </c>
      <c r="B14" s="5">
        <f>"1/1"</f>
        <v>0</v>
      </c>
      <c r="C14" s="5"/>
      <c r="D14" s="7">
        <f>((C14)*(H14)*(I14))/(G14)</f>
        <v>0</v>
      </c>
      <c r="E14" s="7">
        <f>D14/10000</f>
        <v>0</v>
      </c>
      <c r="G14">
        <f>Digestion!B19</f>
        <v>0</v>
      </c>
      <c r="H14">
        <f>Digestion!C19</f>
        <v>0</v>
      </c>
      <c r="I14">
        <f>(LEFT(B14,FIND("/",B14)-1)/RIGHT(B14,LEN(B14)-FIND("/", B14)))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6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9">
      <c r="A1" s="1" t="s">
        <v>0</v>
      </c>
      <c r="B1" s="2">
        <v>46134</v>
      </c>
    </row>
    <row r="2" spans="1:9">
      <c r="A2" s="1" t="s">
        <v>1</v>
      </c>
      <c r="B2">
        <v>100482511</v>
      </c>
    </row>
    <row r="5" spans="1:9">
      <c r="A5" s="4" t="s">
        <v>29</v>
      </c>
      <c r="B5" s="4" t="s">
        <v>30</v>
      </c>
      <c r="C5" s="4" t="s">
        <v>31</v>
      </c>
      <c r="D5" s="6" t="s">
        <v>32</v>
      </c>
      <c r="E5" s="6" t="s">
        <v>33</v>
      </c>
    </row>
    <row r="6" spans="1:9">
      <c r="A6" s="4" t="s">
        <v>21</v>
      </c>
      <c r="B6" s="5">
        <f>"1/1"</f>
        <v>0</v>
      </c>
      <c r="C6" s="5"/>
      <c r="D6" s="7">
        <f>((C6)*(H6)*(I6))/(G6)</f>
        <v>0</v>
      </c>
      <c r="E6" s="7">
        <f>D6/10000</f>
        <v>0</v>
      </c>
      <c r="G6">
        <f>Digestion!B20</f>
        <v>0</v>
      </c>
      <c r="H6">
        <f>Digestion!C20</f>
        <v>0</v>
      </c>
      <c r="I6">
        <f>(LEFT(B6,FIND("/",B6)-1)/RIGHT(B6,LEN(B6)-FIND("/", B6)))</f>
        <v>0</v>
      </c>
    </row>
    <row r="7" spans="1:9">
      <c r="A7" s="4" t="s">
        <v>22</v>
      </c>
      <c r="B7" s="5">
        <f>"1/1"</f>
        <v>0</v>
      </c>
      <c r="C7" s="5"/>
      <c r="D7" s="7">
        <f>((C7)*(H7)*(I7))/(G7)</f>
        <v>0</v>
      </c>
      <c r="E7" s="7">
        <f>D7/10000</f>
        <v>0</v>
      </c>
      <c r="G7">
        <f>Digestion!B21</f>
        <v>0</v>
      </c>
      <c r="H7">
        <f>Digestion!C21</f>
        <v>0</v>
      </c>
      <c r="I7">
        <f>(LEFT(B7,FIND("/",B7)-1)/RIGHT(B7,LEN(B7)-FIND("/", B7)))</f>
        <v>0</v>
      </c>
    </row>
    <row r="8" spans="1:9">
      <c r="A8" s="4" t="s">
        <v>23</v>
      </c>
      <c r="B8" s="5">
        <f>"1/1"</f>
        <v>0</v>
      </c>
      <c r="C8" s="5"/>
      <c r="D8" s="7">
        <f>((C8)*(H8)*(I8))/(G8)</f>
        <v>0</v>
      </c>
      <c r="E8" s="7">
        <f>D8/10000</f>
        <v>0</v>
      </c>
      <c r="G8">
        <f>Digestion!B22</f>
        <v>0</v>
      </c>
      <c r="H8">
        <f>Digestion!C22</f>
        <v>0</v>
      </c>
      <c r="I8">
        <f>(LEFT(B8,FIND("/",B8)-1)/RIGHT(B8,LEN(B8)-FIND("/", B8)))</f>
        <v>0</v>
      </c>
    </row>
    <row r="11" spans="1:9">
      <c r="A11" s="4" t="s">
        <v>29</v>
      </c>
      <c r="B11" s="4" t="s">
        <v>30</v>
      </c>
      <c r="C11" s="4" t="s">
        <v>31</v>
      </c>
      <c r="D11" s="6" t="s">
        <v>34</v>
      </c>
      <c r="E11" s="6" t="s">
        <v>35</v>
      </c>
    </row>
    <row r="12" spans="1:9">
      <c r="A12" s="4" t="s">
        <v>21</v>
      </c>
      <c r="B12" s="5">
        <f>"1/1"</f>
        <v>0</v>
      </c>
      <c r="C12" s="5"/>
      <c r="D12" s="7">
        <f>((C12)*(H12)*(I12))/(G12)</f>
        <v>0</v>
      </c>
      <c r="E12" s="7">
        <f>D12/10000</f>
        <v>0</v>
      </c>
      <c r="G12">
        <f>Digestion!B20</f>
        <v>0</v>
      </c>
      <c r="H12">
        <f>Digestion!C20</f>
        <v>0</v>
      </c>
      <c r="I12">
        <f>(LEFT(B12,FIND("/",B12)-1)/RIGHT(B12,LEN(B12)-FIND("/", B12)))</f>
        <v>0</v>
      </c>
    </row>
    <row r="13" spans="1:9">
      <c r="A13" s="4" t="s">
        <v>22</v>
      </c>
      <c r="B13" s="5">
        <f>"1/1"</f>
        <v>0</v>
      </c>
      <c r="C13" s="5"/>
      <c r="D13" s="7">
        <f>((C13)*(H13)*(I13))/(G13)</f>
        <v>0</v>
      </c>
      <c r="E13" s="7">
        <f>D13/10000</f>
        <v>0</v>
      </c>
      <c r="G13">
        <f>Digestion!B21</f>
        <v>0</v>
      </c>
      <c r="H13">
        <f>Digestion!C21</f>
        <v>0</v>
      </c>
      <c r="I13">
        <f>(LEFT(B13,FIND("/",B13)-1)/RIGHT(B13,LEN(B13)-FIND("/", B13)))</f>
        <v>0</v>
      </c>
    </row>
    <row r="14" spans="1:9">
      <c r="A14" s="4" t="s">
        <v>23</v>
      </c>
      <c r="B14" s="5">
        <f>"1/1"</f>
        <v>0</v>
      </c>
      <c r="C14" s="5"/>
      <c r="D14" s="7">
        <f>((C14)*(H14)*(I14))/(G14)</f>
        <v>0</v>
      </c>
      <c r="E14" s="7">
        <f>D14/10000</f>
        <v>0</v>
      </c>
      <c r="G14">
        <f>Digestion!B22</f>
        <v>0</v>
      </c>
      <c r="H14">
        <f>Digestion!C22</f>
        <v>0</v>
      </c>
      <c r="I14">
        <f>(LEFT(B14,FIND("/",B14)-1)/RIGHT(B14,LEN(B14)-FIND("/", B14)))</f>
        <v>0</v>
      </c>
    </row>
    <row r="17" spans="1:9">
      <c r="A17" s="4" t="s">
        <v>29</v>
      </c>
      <c r="B17" s="4" t="s">
        <v>30</v>
      </c>
      <c r="C17" s="4" t="s">
        <v>31</v>
      </c>
      <c r="D17" s="6" t="s">
        <v>36</v>
      </c>
      <c r="E17" s="6" t="s">
        <v>37</v>
      </c>
    </row>
    <row r="18" spans="1:9">
      <c r="A18" s="4" t="s">
        <v>21</v>
      </c>
      <c r="B18" s="5">
        <f>"1/1"</f>
        <v>0</v>
      </c>
      <c r="C18" s="5"/>
      <c r="D18" s="7">
        <f>((C18)*(H18)*(I18))/(G18)</f>
        <v>0</v>
      </c>
      <c r="E18" s="7">
        <f>D18/10000</f>
        <v>0</v>
      </c>
      <c r="G18">
        <f>Digestion!B30</f>
        <v>0</v>
      </c>
      <c r="H18">
        <f>Digestion!C30</f>
        <v>0</v>
      </c>
      <c r="I18">
        <f>(LEFT(B18,FIND("/",B18)-1)/RIGHT(B18,LEN(B18)-FIND("/", B18)))</f>
        <v>0</v>
      </c>
    </row>
    <row r="19" spans="1:9">
      <c r="A19" s="4" t="s">
        <v>22</v>
      </c>
      <c r="B19" s="5">
        <f>"1/1"</f>
        <v>0</v>
      </c>
      <c r="C19" s="5"/>
      <c r="D19" s="7">
        <f>((C19)*(H19)*(I19))/(G19)</f>
        <v>0</v>
      </c>
      <c r="E19" s="7">
        <f>D19/10000</f>
        <v>0</v>
      </c>
      <c r="G19">
        <f>Digestion!B31</f>
        <v>0</v>
      </c>
      <c r="H19">
        <f>Digestion!C31</f>
        <v>0</v>
      </c>
      <c r="I19">
        <f>(LEFT(B19,FIND("/",B19)-1)/RIGHT(B19,LEN(B19)-FIND("/", B19)))</f>
        <v>0</v>
      </c>
    </row>
    <row r="20" spans="1:9">
      <c r="A20" s="4" t="s">
        <v>23</v>
      </c>
      <c r="B20" s="5">
        <f>"1/1"</f>
        <v>0</v>
      </c>
      <c r="C20" s="5"/>
      <c r="D20" s="7">
        <f>((C20)*(H20)*(I20))/(G20)</f>
        <v>0</v>
      </c>
      <c r="E20" s="7">
        <f>D20/10000</f>
        <v>0</v>
      </c>
      <c r="G20">
        <f>Digestion!B32</f>
        <v>0</v>
      </c>
      <c r="H20">
        <f>Digestion!C32</f>
        <v>0</v>
      </c>
      <c r="I20">
        <f>(LEFT(B20,FIND("/",B20)-1)/RIGHT(B20,LEN(B20)-FIND("/", B20)))</f>
        <v>0</v>
      </c>
    </row>
    <row r="23" spans="1:9">
      <c r="A23" s="4" t="s">
        <v>29</v>
      </c>
      <c r="B23" s="4" t="s">
        <v>30</v>
      </c>
      <c r="C23" s="4" t="s">
        <v>31</v>
      </c>
      <c r="D23" s="6" t="s">
        <v>38</v>
      </c>
      <c r="E23" s="6" t="s">
        <v>39</v>
      </c>
    </row>
    <row r="24" spans="1:9">
      <c r="A24" s="4" t="s">
        <v>21</v>
      </c>
      <c r="B24" s="5">
        <f>"1/1"</f>
        <v>0</v>
      </c>
      <c r="C24" s="5"/>
      <c r="D24" s="7">
        <f>((C24)*(H24)*(I24))/(G24)</f>
        <v>0</v>
      </c>
      <c r="E24" s="7">
        <f>D24/10000</f>
        <v>0</v>
      </c>
      <c r="G24">
        <f>Digestion!B30</f>
        <v>0</v>
      </c>
      <c r="H24">
        <f>Digestion!C30</f>
        <v>0</v>
      </c>
      <c r="I24">
        <f>(LEFT(B24,FIND("/",B24)-1)/RIGHT(B24,LEN(B24)-FIND("/", B24)))</f>
        <v>0</v>
      </c>
    </row>
    <row r="25" spans="1:9">
      <c r="A25" s="4" t="s">
        <v>22</v>
      </c>
      <c r="B25" s="5">
        <f>"1/1"</f>
        <v>0</v>
      </c>
      <c r="C25" s="5"/>
      <c r="D25" s="7">
        <f>((C25)*(H25)*(I25))/(G25)</f>
        <v>0</v>
      </c>
      <c r="E25" s="7">
        <f>D25/10000</f>
        <v>0</v>
      </c>
      <c r="G25">
        <f>Digestion!B31</f>
        <v>0</v>
      </c>
      <c r="H25">
        <f>Digestion!C31</f>
        <v>0</v>
      </c>
      <c r="I25">
        <f>(LEFT(B25,FIND("/",B25)-1)/RIGHT(B25,LEN(B25)-FIND("/", B25)))</f>
        <v>0</v>
      </c>
    </row>
    <row r="26" spans="1:9">
      <c r="A26" s="4" t="s">
        <v>23</v>
      </c>
      <c r="B26" s="5">
        <f>"1/1"</f>
        <v>0</v>
      </c>
      <c r="C26" s="5"/>
      <c r="D26" s="7">
        <f>((C26)*(H26)*(I26))/(G26)</f>
        <v>0</v>
      </c>
      <c r="E26" s="7">
        <f>D26/10000</f>
        <v>0</v>
      </c>
      <c r="G26">
        <f>Digestion!B32</f>
        <v>0</v>
      </c>
      <c r="H26">
        <f>Digestion!C32</f>
        <v>0</v>
      </c>
      <c r="I26">
        <f>(LEFT(B26,FIND("/",B26)-1)/RIGHT(B26,LEN(B26)-FIND("/", B26)))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4"/>
  <sheetViews>
    <sheetView workbookViewId="0"/>
  </sheetViews>
  <sheetFormatPr defaultRowHeight="15"/>
  <cols>
    <col min="1" max="1" width="11.7109375" customWidth="1"/>
    <col min="3" max="3" width="12.7109375" customWidth="1"/>
  </cols>
  <sheetData>
    <row r="1" spans="1:9">
      <c r="A1" s="1" t="s">
        <v>0</v>
      </c>
      <c r="B1" s="2">
        <v>46134</v>
      </c>
    </row>
    <row r="2" spans="1:9">
      <c r="A2" s="1" t="s">
        <v>1</v>
      </c>
      <c r="B2">
        <v>100482511</v>
      </c>
    </row>
    <row r="5" spans="1:9">
      <c r="A5" s="4" t="s">
        <v>29</v>
      </c>
      <c r="B5" s="4" t="s">
        <v>30</v>
      </c>
      <c r="C5" s="4" t="s">
        <v>31</v>
      </c>
      <c r="D5" s="6" t="s">
        <v>36</v>
      </c>
      <c r="E5" s="6" t="s">
        <v>37</v>
      </c>
    </row>
    <row r="6" spans="1:9">
      <c r="A6" s="4" t="s">
        <v>26</v>
      </c>
      <c r="B6" s="5">
        <f>"1/1"</f>
        <v>0</v>
      </c>
      <c r="C6" s="5"/>
      <c r="D6" s="7">
        <f>((C6)*(H6)*(I6))/(G6)</f>
        <v>0</v>
      </c>
      <c r="E6" s="7">
        <f>D6/10000</f>
        <v>0</v>
      </c>
      <c r="G6">
        <f>Digestion!B33</f>
        <v>0</v>
      </c>
      <c r="H6">
        <f>Digestion!C33</f>
        <v>0</v>
      </c>
      <c r="I6">
        <f>(LEFT(B6,FIND("/",B6)-1)/RIGHT(B6,LEN(B6)-FIND("/", B6)))</f>
        <v>0</v>
      </c>
    </row>
    <row r="7" spans="1:9">
      <c r="A7" s="4" t="s">
        <v>27</v>
      </c>
      <c r="B7" s="5">
        <f>"1/1"</f>
        <v>0</v>
      </c>
      <c r="C7" s="5"/>
      <c r="D7" s="7">
        <f>((C7)*(H7)*(I7))/(G7)</f>
        <v>0</v>
      </c>
      <c r="E7" s="7">
        <f>D7/10000</f>
        <v>0</v>
      </c>
      <c r="G7">
        <f>Digestion!B34</f>
        <v>0</v>
      </c>
      <c r="H7">
        <f>Digestion!C34</f>
        <v>0</v>
      </c>
      <c r="I7">
        <f>(LEFT(B7,FIND("/",B7)-1)/RIGHT(B7,LEN(B7)-FIND("/", B7)))</f>
        <v>0</v>
      </c>
    </row>
    <row r="8" spans="1:9">
      <c r="A8" s="4" t="s">
        <v>28</v>
      </c>
      <c r="B8" s="5">
        <f>"1/1"</f>
        <v>0</v>
      </c>
      <c r="C8" s="5"/>
      <c r="D8" s="7">
        <f>((C8)*(H8)*(I8))/(G8)</f>
        <v>0</v>
      </c>
      <c r="E8" s="7">
        <f>D8/10000</f>
        <v>0</v>
      </c>
      <c r="G8">
        <f>Digestion!B35</f>
        <v>0</v>
      </c>
      <c r="H8">
        <f>Digestion!C35</f>
        <v>0</v>
      </c>
      <c r="I8">
        <f>(LEFT(B8,FIND("/",B8)-1)/RIGHT(B8,LEN(B8)-FIND("/", B8)))</f>
        <v>0</v>
      </c>
    </row>
    <row r="11" spans="1:9">
      <c r="A11" s="4" t="s">
        <v>29</v>
      </c>
      <c r="B11" s="4" t="s">
        <v>30</v>
      </c>
      <c r="C11" s="4" t="s">
        <v>31</v>
      </c>
      <c r="D11" s="6" t="s">
        <v>38</v>
      </c>
      <c r="E11" s="6" t="s">
        <v>39</v>
      </c>
    </row>
    <row r="12" spans="1:9">
      <c r="A12" s="4" t="s">
        <v>26</v>
      </c>
      <c r="B12" s="5">
        <f>"1/1"</f>
        <v>0</v>
      </c>
      <c r="C12" s="5"/>
      <c r="D12" s="7">
        <f>((C12)*(H12)*(I12))/(G12)</f>
        <v>0</v>
      </c>
      <c r="E12" s="7">
        <f>D12/10000</f>
        <v>0</v>
      </c>
      <c r="G12">
        <f>Digestion!B33</f>
        <v>0</v>
      </c>
      <c r="H12">
        <f>Digestion!C33</f>
        <v>0</v>
      </c>
      <c r="I12">
        <f>(LEFT(B12,FIND("/",B12)-1)/RIGHT(B12,LEN(B12)-FIND("/", B12)))</f>
        <v>0</v>
      </c>
    </row>
    <row r="13" spans="1:9">
      <c r="A13" s="4" t="s">
        <v>27</v>
      </c>
      <c r="B13" s="5">
        <f>"1/1"</f>
        <v>0</v>
      </c>
      <c r="C13" s="5"/>
      <c r="D13" s="7">
        <f>((C13)*(H13)*(I13))/(G13)</f>
        <v>0</v>
      </c>
      <c r="E13" s="7">
        <f>D13/10000</f>
        <v>0</v>
      </c>
      <c r="G13">
        <f>Digestion!B34</f>
        <v>0</v>
      </c>
      <c r="H13">
        <f>Digestion!C34</f>
        <v>0</v>
      </c>
      <c r="I13">
        <f>(LEFT(B13,FIND("/",B13)-1)/RIGHT(B13,LEN(B13)-FIND("/", B13)))</f>
        <v>0</v>
      </c>
    </row>
    <row r="14" spans="1:9">
      <c r="A14" s="4" t="s">
        <v>28</v>
      </c>
      <c r="B14" s="5">
        <f>"1/1"</f>
        <v>0</v>
      </c>
      <c r="C14" s="5"/>
      <c r="D14" s="7">
        <f>((C14)*(H14)*(I14))/(G14)</f>
        <v>0</v>
      </c>
      <c r="E14" s="7">
        <f>D14/10000</f>
        <v>0</v>
      </c>
      <c r="G14">
        <f>Digestion!B35</f>
        <v>0</v>
      </c>
      <c r="H14">
        <f>Digestion!C35</f>
        <v>0</v>
      </c>
      <c r="I14">
        <f>(LEFT(B14,FIND("/",B14)-1)/RIGHT(B14,LEN(B14)-FIND("/", B14)))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</vt:lpstr>
      <vt:lpstr>200127586</vt:lpstr>
      <vt:lpstr>200127587</vt:lpstr>
      <vt:lpstr>200127588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2026-04-22T20:21:54Z</dcterms:created>
  <dcterms:modified xsi:type="dcterms:W3CDTF">2026-04-22T20:21:54Z</dcterms:modified>
</cp:coreProperties>
</file>