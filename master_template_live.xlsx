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cheme\PycharmProjects\request_template\"/>
    </mc:Choice>
  </mc:AlternateContent>
  <xr:revisionPtr revIDLastSave="0" documentId="13_ncr:1_{F291CA20-AB4A-4A4A-B0FF-6B6220232C1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igestion_page" sheetId="1" r:id="rId1"/>
    <sheet name="200127788" sheetId="2" r:id="rId2"/>
    <sheet name="200127789" sheetId="3" r:id="rId3"/>
    <sheet name="200127790" sheetId="4" r:id="rId4"/>
    <sheet name="200127791" sheetId="5" r:id="rId5"/>
    <sheet name="formula_page" sheetId="6" r:id="rId6"/>
  </sheets>
  <definedNames>
    <definedName name="_xlnm.Print_Area" localSheetId="4">'200127791'!$A$1:$F$33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23" i="4"/>
  <c r="B22" i="4"/>
  <c r="B23" i="5"/>
  <c r="B22" i="5"/>
  <c r="B12" i="4" l="1"/>
  <c r="I12" i="4" s="1"/>
  <c r="B11" i="4"/>
  <c r="B12" i="3"/>
  <c r="I12" i="3" s="1"/>
  <c r="B11" i="3"/>
  <c r="I11" i="3" s="1"/>
  <c r="B23" i="3"/>
  <c r="I23" i="3" s="1"/>
  <c r="B22" i="3"/>
  <c r="I22" i="3" s="1"/>
  <c r="B23" i="2"/>
  <c r="I23" i="2" s="1"/>
  <c r="B22" i="2"/>
  <c r="B12" i="2"/>
  <c r="I12" i="2" s="1"/>
  <c r="B11" i="2"/>
  <c r="H23" i="5"/>
  <c r="G23" i="5"/>
  <c r="I23" i="5"/>
  <c r="H22" i="5"/>
  <c r="G22" i="5"/>
  <c r="I22" i="5"/>
  <c r="H12" i="5"/>
  <c r="G12" i="5"/>
  <c r="I12" i="5"/>
  <c r="I11" i="5"/>
  <c r="H11" i="5"/>
  <c r="G11" i="5"/>
  <c r="E7" i="5"/>
  <c r="F7" i="5" s="1"/>
  <c r="D6" i="5"/>
  <c r="I23" i="4"/>
  <c r="H23" i="4"/>
  <c r="G23" i="4"/>
  <c r="H22" i="4"/>
  <c r="G22" i="4"/>
  <c r="I22" i="4"/>
  <c r="H12" i="4"/>
  <c r="G12" i="4"/>
  <c r="H11" i="4"/>
  <c r="G11" i="4"/>
  <c r="I11" i="4"/>
  <c r="E7" i="4"/>
  <c r="F7" i="4" s="1"/>
  <c r="D6" i="4"/>
  <c r="H23" i="3"/>
  <c r="G23" i="3"/>
  <c r="H22" i="3"/>
  <c r="G22" i="3"/>
  <c r="H12" i="3"/>
  <c r="G12" i="3"/>
  <c r="H11" i="3"/>
  <c r="G11" i="3"/>
  <c r="E7" i="3"/>
  <c r="F7" i="3" s="1"/>
  <c r="D6" i="3"/>
  <c r="H23" i="2"/>
  <c r="G23" i="2"/>
  <c r="I22" i="2"/>
  <c r="H22" i="2"/>
  <c r="G22" i="2"/>
  <c r="H12" i="2"/>
  <c r="G12" i="2"/>
  <c r="I11" i="2"/>
  <c r="H11" i="2"/>
  <c r="G11" i="2"/>
  <c r="E7" i="2"/>
  <c r="F7" i="2" s="1"/>
  <c r="D6" i="2"/>
  <c r="D12" i="4" l="1"/>
  <c r="E12" i="4" s="1"/>
  <c r="D23" i="3"/>
  <c r="E23" i="3" s="1"/>
  <c r="D22" i="5"/>
  <c r="E22" i="5" s="1"/>
  <c r="D11" i="5"/>
  <c r="E11" i="5" s="1"/>
  <c r="D23" i="4"/>
  <c r="E23" i="4" s="1"/>
  <c r="D11" i="3"/>
  <c r="D12" i="2"/>
  <c r="E12" i="2" s="1"/>
  <c r="D23" i="2"/>
  <c r="E23" i="2" s="1"/>
  <c r="D22" i="2"/>
  <c r="E22" i="2" s="1"/>
  <c r="D11" i="2"/>
  <c r="E11" i="2" s="1"/>
  <c r="D22" i="4"/>
  <c r="D12" i="5"/>
  <c r="E12" i="5" s="1"/>
  <c r="D12" i="3"/>
  <c r="E12" i="3" s="1"/>
  <c r="D11" i="4"/>
  <c r="D22" i="3"/>
  <c r="D23" i="5"/>
  <c r="E23" i="5" s="1"/>
  <c r="C14" i="3" l="1"/>
  <c r="C25" i="5"/>
  <c r="E11" i="3"/>
  <c r="C17" i="3" s="1"/>
  <c r="C14" i="5"/>
  <c r="C25" i="2"/>
  <c r="C14" i="2"/>
  <c r="C17" i="5"/>
  <c r="C15" i="5"/>
  <c r="C28" i="5"/>
  <c r="C26" i="5"/>
  <c r="C26" i="2"/>
  <c r="C28" i="2"/>
  <c r="E22" i="3"/>
  <c r="C25" i="3"/>
  <c r="C25" i="4"/>
  <c r="E22" i="4"/>
  <c r="E11" i="4"/>
  <c r="C14" i="4"/>
  <c r="C15" i="3"/>
  <c r="C17" i="2"/>
  <c r="C15" i="2"/>
  <c r="C28" i="4" l="1"/>
  <c r="C26" i="4"/>
  <c r="C28" i="3"/>
  <c r="C26" i="3"/>
  <c r="C17" i="4"/>
  <c r="C15" i="4"/>
</calcChain>
</file>

<file path=xl/sharedStrings.xml><?xml version="1.0" encoding="utf-8"?>
<sst xmlns="http://schemas.openxmlformats.org/spreadsheetml/2006/main" count="198" uniqueCount="71">
  <si>
    <t>Date:</t>
  </si>
  <si>
    <t>Request ID:</t>
  </si>
  <si>
    <t>100048492</t>
  </si>
  <si>
    <t>Microwave</t>
  </si>
  <si>
    <t>Element(s)</t>
  </si>
  <si>
    <t>Co, Pt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</si>
  <si>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</si>
  <si>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</si>
  <si>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</si>
  <si>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</si>
  <si>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</si>
  <si>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</si>
  <si>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</si>
  <si>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</si>
  <si>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</si>
  <si>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</si>
  <si>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</si>
  <si>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</si>
  <si>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</si>
  <si>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200127788_1</t>
  </si>
  <si>
    <t>200127788_2</t>
  </si>
  <si>
    <t>200127789_1</t>
  </si>
  <si>
    <t>200127789_2</t>
  </si>
  <si>
    <t>200127790_1</t>
  </si>
  <si>
    <t>200127790_2</t>
  </si>
  <si>
    <t>200127791_1</t>
  </si>
  <si>
    <t>200127791_2</t>
  </si>
  <si>
    <t>LOI temp:</t>
  </si>
  <si>
    <t>sample</t>
  </si>
  <si>
    <t>crucible (g)</t>
  </si>
  <si>
    <t>crucible + sample (g)</t>
  </si>
  <si>
    <t>LOI (%)</t>
  </si>
  <si>
    <t>correction</t>
  </si>
  <si>
    <t>200127788</t>
  </si>
  <si>
    <t>Co ICP analysis</t>
  </si>
  <si>
    <t>Dilution</t>
  </si>
  <si>
    <t>conc. [mg/L]</t>
  </si>
  <si>
    <t>Co_ppm [dried]</t>
  </si>
  <si>
    <t>%Co [dried]</t>
  </si>
  <si>
    <t>co result:</t>
  </si>
  <si>
    <t>co oxide factor:</t>
  </si>
  <si>
    <t>co oxide result:</t>
  </si>
  <si>
    <t>co lot:</t>
  </si>
  <si>
    <t>Pt ICP analysis</t>
  </si>
  <si>
    <t>Pt_ppm [dried]</t>
  </si>
  <si>
    <t>%Pt [dried]</t>
  </si>
  <si>
    <t>pt result:</t>
  </si>
  <si>
    <t>pt oxide factor:</t>
  </si>
  <si>
    <t>pt oxide result:</t>
  </si>
  <si>
    <t>pt lot:</t>
  </si>
  <si>
    <t>Note(s):</t>
  </si>
  <si>
    <t>200127789</t>
  </si>
  <si>
    <t>200127790</t>
  </si>
  <si>
    <t>200127791</t>
  </si>
  <si>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</si>
  <si>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</si>
  <si>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</si>
  <si>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</si>
  <si>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</si>
  <si>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[conc.][volume][dilution]/([weight]*10,000)</t>
  </si>
  <si>
    <t>%MO = [oxide factor]*%M+</t>
  </si>
  <si>
    <t>ppm M+  [dried] = ppm M+/([1-(%LOI)/100])</t>
  </si>
  <si>
    <t>%M+  [dried] = %M+/([1-(%LOI)/100])</t>
  </si>
  <si>
    <t>%MO [dried] = %MO/([1-(%LOI)/100])</t>
  </si>
  <si>
    <t>%Cr(VI) = (1.733[mL FAS][N FAS])/([weight])</t>
  </si>
  <si>
    <t>%Cr2O3 = 1.462*[%Cr(VI)]</t>
  </si>
  <si>
    <t>%Cr(III) = total_Cr - Cr(VI)</t>
  </si>
  <si>
    <t>PTFE</t>
  </si>
  <si>
    <t>9 mL HCl, 3 mL HNO3, 6 mL H2SO4</t>
  </si>
  <si>
    <t>Manufacturer: Assurance, 28-73COY exp: 2026-10-30</t>
  </si>
  <si>
    <t>Manufacturer: Assurance, 28-2PTY exp: 2027-02-28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</si>
</sst>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left"/>
    </xf>
    <xf numFmtId="167" fontId="0" fillId="0" borderId="1" xfId="0" applyNumberFormat="1" applyBorder="1"/>
    <xf numFmtId="0" fontId="2" fillId="0" borderId="0" xfId="0" applyFon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4" fillId="0" borderId="0" xfId="0" applyFont="1"/>
    <xf numFmtId="169" fontId="0" fillId="2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0" fontId="6" fillId="0" borderId="0" xfId="0" applyFont="1"/>
    <xf numFmtId="0" fontId="5" fillId="0" borderId="0" xfId="0" applyFont="1"/>
    <xf numFmtId="0" fontId="0" fillId="0" borderId="1" xfId="0" applyBorder="1"/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12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workbookViewId="0">
      <selection activeCell="C28" sqref="C28"/>
    </sheetView>
  </sheetViews>
  <sheetFormatPr defaultRowHeight="15" x14ac:dyDescent="0.25"/>
  <cols>
    <col min="1" max="1" width="12.28515625" bestFit="1" customWidth="1"/>
    <col min="2" max="2" width="10.7109375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46142</v>
      </c>
    </row>
    <row r="2" spans="1:5" x14ac:dyDescent="0.25">
      <c r="A2" s="1" t="s">
        <v>1</v>
      </c>
      <c r="B2" t="s">
        <v>2</v>
      </c>
    </row>
    <row r="5" spans="1:5" x14ac:dyDescent="0.25">
      <c r="A5" s="22" t="s">
        <v>3</v>
      </c>
      <c r="B5" s="22"/>
      <c r="C5" s="22"/>
      <c r="D5" s="22"/>
      <c r="E5" s="22"/>
    </row>
    <row r="6" spans="1:5" x14ac:dyDescent="0.25">
      <c r="A6" s="3" t="s">
        <v>4</v>
      </c>
      <c r="B6" s="19" t="s">
        <v>5</v>
      </c>
      <c r="C6" s="19"/>
      <c r="D6" s="19"/>
      <c r="E6" s="19"/>
    </row>
    <row r="7" spans="1:5" x14ac:dyDescent="0.25">
      <c r="A7" s="3" t="s">
        <v>6</v>
      </c>
      <c r="B7" s="19"/>
      <c r="C7" s="19"/>
      <c r="D7" s="19"/>
      <c r="E7" s="19"/>
    </row>
    <row r="8" spans="1:5" x14ac:dyDescent="0.25">
      <c r="A8" s="3" t="s">
        <v>7</v>
      </c>
      <c r="B8" s="19" t="s">
        <v>68</v>
      </c>
      <c r="C8" s="19"/>
      <c r="D8" s="19"/>
      <c r="E8" s="19"/>
    </row>
    <row r="9" spans="1:5" x14ac:dyDescent="0.25">
      <c r="A9" s="3" t="s">
        <v>8</v>
      </c>
      <c r="B9" s="21">
        <v>7</v>
      </c>
      <c r="C9" s="21"/>
      <c r="D9" s="21"/>
      <c r="E9" s="21"/>
    </row>
    <row r="10" spans="1:5" x14ac:dyDescent="0.25">
      <c r="A10" s="3" t="s">
        <v>9</v>
      </c>
      <c r="B10" s="19" t="s">
        <v>67</v>
      </c>
      <c r="C10" s="19"/>
      <c r="D10" s="19"/>
      <c r="E10" s="19"/>
    </row>
    <row r="11" spans="1:5" x14ac:dyDescent="0.25">
      <c r="A11" s="3" t="s">
        <v>10</v>
      </c>
      <c r="B11" s="20">
        <v>0.9</v>
      </c>
      <c r="C11" s="21"/>
      <c r="D11" s="21"/>
      <c r="E11" s="21"/>
    </row>
    <row r="12" spans="1:5" x14ac:dyDescent="0.25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x14ac:dyDescent="0.25">
      <c r="A13" s="4">
        <v>15</v>
      </c>
      <c r="B13" s="4">
        <v>1200</v>
      </c>
      <c r="C13" s="4">
        <v>180</v>
      </c>
      <c r="D13" s="4">
        <v>65</v>
      </c>
      <c r="E13" s="4">
        <v>110</v>
      </c>
    </row>
    <row r="14" spans="1:5" x14ac:dyDescent="0.25">
      <c r="A14" s="4">
        <v>15</v>
      </c>
      <c r="B14" s="4">
        <v>1500</v>
      </c>
      <c r="C14" s="4">
        <v>240</v>
      </c>
      <c r="D14" s="4">
        <v>65</v>
      </c>
      <c r="E14" s="4">
        <v>110</v>
      </c>
    </row>
    <row r="15" spans="1:5" x14ac:dyDescent="0.25">
      <c r="A15" s="4">
        <v>30</v>
      </c>
      <c r="B15" s="4">
        <v>1500</v>
      </c>
      <c r="C15" s="4">
        <v>240</v>
      </c>
      <c r="D15" s="4">
        <v>65</v>
      </c>
      <c r="E15" s="4">
        <v>110</v>
      </c>
    </row>
    <row r="16" spans="1:5" x14ac:dyDescent="0.25">
      <c r="A16" s="3" t="s">
        <v>16</v>
      </c>
      <c r="B16" s="3" t="s">
        <v>17</v>
      </c>
      <c r="C16" s="3" t="s">
        <v>18</v>
      </c>
    </row>
    <row r="17" spans="1:3" x14ac:dyDescent="0.25">
      <c r="A17" s="3" t="s">
        <v>19</v>
      </c>
      <c r="B17" s="5">
        <v>0.50490000000000002</v>
      </c>
      <c r="C17" s="4">
        <v>100</v>
      </c>
    </row>
    <row r="18" spans="1:3" x14ac:dyDescent="0.25">
      <c r="A18" s="3" t="s">
        <v>20</v>
      </c>
      <c r="B18" s="5">
        <v>0.50719999999999998</v>
      </c>
      <c r="C18" s="4">
        <v>100</v>
      </c>
    </row>
    <row r="19" spans="1:3" x14ac:dyDescent="0.25">
      <c r="A19" s="3" t="s">
        <v>21</v>
      </c>
      <c r="B19" s="5">
        <v>0.50329999999999997</v>
      </c>
      <c r="C19" s="4">
        <v>100</v>
      </c>
    </row>
    <row r="20" spans="1:3" x14ac:dyDescent="0.25">
      <c r="A20" s="3" t="s">
        <v>22</v>
      </c>
      <c r="B20" s="5">
        <v>0.50539999999999996</v>
      </c>
      <c r="C20" s="4">
        <v>100</v>
      </c>
    </row>
    <row r="21" spans="1:3" x14ac:dyDescent="0.25">
      <c r="A21" s="3" t="s">
        <v>23</v>
      </c>
      <c r="B21" s="5">
        <v>0.50439999999999996</v>
      </c>
      <c r="C21" s="4">
        <v>100</v>
      </c>
    </row>
    <row r="22" spans="1:3" x14ac:dyDescent="0.25">
      <c r="A22" s="3" t="s">
        <v>24</v>
      </c>
      <c r="B22" s="5">
        <v>0.50700000000000001</v>
      </c>
      <c r="C22" s="4">
        <v>100</v>
      </c>
    </row>
    <row r="23" spans="1:3" x14ac:dyDescent="0.25">
      <c r="A23" s="3" t="s">
        <v>25</v>
      </c>
      <c r="B23" s="5">
        <v>0.50600000000000001</v>
      </c>
      <c r="C23" s="4">
        <v>100</v>
      </c>
    </row>
    <row r="24" spans="1:3" x14ac:dyDescent="0.25">
      <c r="A24" s="3" t="s">
        <v>26</v>
      </c>
      <c r="B24" s="5">
        <v>0.50760000000000005</v>
      </c>
      <c r="C24" s="4">
        <v>100</v>
      </c>
    </row>
  </sheetData>
  <mergeCells count="7">
    <mergeCell ref="B10:E10"/>
    <mergeCell ref="B11:E11"/>
    <mergeCell ref="A5:E5"/>
    <mergeCell ref="B6:E6"/>
    <mergeCell ref="B7:E7"/>
    <mergeCell ref="B8:E8"/>
    <mergeCell ref="B9:E9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4"/>
  <sheetViews>
    <sheetView workbookViewId="0">
      <selection activeCell="M30" sqref="M30"/>
    </sheetView>
  </sheetViews>
  <sheetFormatPr defaultRowHeight="15" x14ac:dyDescent="0.25"/>
  <cols>
    <col min="1" max="1" width="14.5703125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</cols>
  <sheetData>
    <row r="1" spans="1:10" x14ac:dyDescent="0.25">
      <c r="A1" s="1" t="s">
        <v>0</v>
      </c>
      <c r="B1" s="2">
        <v>46142</v>
      </c>
    </row>
    <row r="2" spans="1:10" x14ac:dyDescent="0.25">
      <c r="A2" s="1" t="s">
        <v>1</v>
      </c>
      <c r="B2" t="s">
        <v>2</v>
      </c>
    </row>
    <row r="5" spans="1:10" x14ac:dyDescent="0.25">
      <c r="A5" s="6" t="s">
        <v>27</v>
      </c>
      <c r="B5" s="7">
        <v>900</v>
      </c>
    </row>
    <row r="6" spans="1:10" x14ac:dyDescent="0.25">
      <c r="A6" s="3" t="s">
        <v>28</v>
      </c>
      <c r="B6" s="3" t="s">
        <v>29</v>
      </c>
      <c r="C6" s="3" t="s">
        <v>30</v>
      </c>
      <c r="D6" s="3" t="str">
        <f>"after "&amp;B5&amp;" °C"</f>
        <v>after 900 °C</v>
      </c>
      <c r="E6" s="3" t="s">
        <v>31</v>
      </c>
      <c r="F6" s="3" t="s">
        <v>32</v>
      </c>
      <c r="G6" s="17"/>
      <c r="H6" s="17"/>
      <c r="I6" s="17"/>
      <c r="J6" s="17"/>
    </row>
    <row r="7" spans="1:10" x14ac:dyDescent="0.25">
      <c r="A7" s="3" t="s">
        <v>33</v>
      </c>
      <c r="B7" s="4">
        <v>27.0107</v>
      </c>
      <c r="C7" s="4">
        <v>29.013500000000001</v>
      </c>
      <c r="D7" s="4">
        <v>28.925699999999999</v>
      </c>
      <c r="E7" s="8">
        <f>(((C7-B7)-(D7-B7))/(C7-B7))*100</f>
        <v>4.3838625923707513</v>
      </c>
      <c r="F7" s="5">
        <f>1-(E7/100)</f>
        <v>0.95616137407629254</v>
      </c>
      <c r="G7" s="17"/>
      <c r="H7" s="17"/>
      <c r="I7" s="17"/>
      <c r="J7" s="17"/>
    </row>
    <row r="8" spans="1:10" x14ac:dyDescent="0.25">
      <c r="G8" s="17"/>
      <c r="H8" s="17"/>
      <c r="I8" s="17"/>
      <c r="J8" s="17"/>
    </row>
    <row r="9" spans="1:10" x14ac:dyDescent="0.25">
      <c r="A9" s="26" t="s">
        <v>34</v>
      </c>
      <c r="B9" s="26"/>
      <c r="G9" s="17"/>
      <c r="H9" s="17"/>
      <c r="I9" s="17"/>
      <c r="J9" s="17"/>
    </row>
    <row r="10" spans="1:10" x14ac:dyDescent="0.25">
      <c r="A10" s="3" t="s">
        <v>28</v>
      </c>
      <c r="B10" s="3" t="s">
        <v>35</v>
      </c>
      <c r="C10" s="3" t="s">
        <v>36</v>
      </c>
      <c r="D10" s="3" t="s">
        <v>37</v>
      </c>
      <c r="E10" s="3" t="s">
        <v>38</v>
      </c>
      <c r="G10" s="17"/>
      <c r="H10" s="17"/>
      <c r="I10" s="17"/>
      <c r="J10" s="17"/>
    </row>
    <row r="11" spans="1:10" x14ac:dyDescent="0.25">
      <c r="A11" s="3" t="s">
        <v>19</v>
      </c>
      <c r="B11" s="4" t="str">
        <f>"100/0.25"</f>
        <v>100/0.25</v>
      </c>
      <c r="C11" s="10">
        <v>2.206</v>
      </c>
      <c r="D11" s="8">
        <f>((C11)*(H11)*(I11))/(G11*$F$7)</f>
        <v>182780.10949612866</v>
      </c>
      <c r="E11" s="8">
        <f>D11/10000</f>
        <v>18.278010949612867</v>
      </c>
      <c r="G11" s="18">
        <f>digestion_page!B17</f>
        <v>0.50490000000000002</v>
      </c>
      <c r="H11" s="18">
        <f>digestion_page!C17</f>
        <v>100</v>
      </c>
      <c r="I11" s="18">
        <f>(LEFT(B11,FIND("/",B11)-1)/RIGHT(B11,LEN(B11)-FIND("/", B11)))</f>
        <v>400</v>
      </c>
      <c r="J11" s="17"/>
    </row>
    <row r="12" spans="1:10" x14ac:dyDescent="0.25">
      <c r="A12" s="3" t="s">
        <v>20</v>
      </c>
      <c r="B12" s="4" t="str">
        <f>"100/0.25"</f>
        <v>100/0.25</v>
      </c>
      <c r="C12" s="10">
        <v>2.2970000000000002</v>
      </c>
      <c r="D12" s="8">
        <f>((C12)*(H12)*(I12))/(G12*$F$7)</f>
        <v>189456.95200599631</v>
      </c>
      <c r="E12" s="8">
        <f>D12/10000</f>
        <v>18.94569520059963</v>
      </c>
      <c r="G12" s="18">
        <f>digestion_page!B18</f>
        <v>0.50719999999999998</v>
      </c>
      <c r="H12" s="18">
        <f>digestion_page!C18</f>
        <v>100</v>
      </c>
      <c r="I12" s="18">
        <f>(LEFT(B12,FIND("/",B12)-1)/RIGHT(B12,LEN(B12)-FIND("/", B12)))</f>
        <v>400</v>
      </c>
      <c r="J12" s="17"/>
    </row>
    <row r="13" spans="1:10" x14ac:dyDescent="0.25">
      <c r="G13" s="18"/>
      <c r="H13" s="18"/>
      <c r="I13" s="18"/>
      <c r="J13" s="17"/>
    </row>
    <row r="14" spans="1:10" x14ac:dyDescent="0.25">
      <c r="A14" s="23" t="s">
        <v>39</v>
      </c>
      <c r="B14" s="23"/>
      <c r="C14" s="12">
        <f>AVERAGE(D11:D12)</f>
        <v>186118.5307510625</v>
      </c>
      <c r="G14" s="18"/>
      <c r="H14" s="18"/>
      <c r="I14" s="18"/>
      <c r="J14" s="17"/>
    </row>
    <row r="15" spans="1:10" x14ac:dyDescent="0.25">
      <c r="A15" s="27" t="s">
        <v>39</v>
      </c>
      <c r="B15" s="27"/>
      <c r="C15" s="15">
        <f>AVERAGE(E11:E12)</f>
        <v>18.611853075106247</v>
      </c>
      <c r="G15" s="18"/>
      <c r="H15" s="18"/>
      <c r="I15" s="18"/>
      <c r="J15" s="17"/>
    </row>
    <row r="16" spans="1:10" x14ac:dyDescent="0.25">
      <c r="A16" s="23" t="s">
        <v>40</v>
      </c>
      <c r="B16" s="23"/>
      <c r="C16" s="9"/>
      <c r="G16" s="18"/>
      <c r="H16" s="18"/>
      <c r="I16" s="18"/>
      <c r="J16" s="17"/>
    </row>
    <row r="17" spans="1:10" x14ac:dyDescent="0.25">
      <c r="A17" s="23" t="s">
        <v>41</v>
      </c>
      <c r="B17" s="23"/>
      <c r="C17" s="13">
        <f>AVERAGE(E11:E12)*(C16)</f>
        <v>0</v>
      </c>
      <c r="G17" s="18"/>
      <c r="H17" s="18"/>
      <c r="I17" s="18"/>
      <c r="J17" s="17"/>
    </row>
    <row r="18" spans="1:10" x14ac:dyDescent="0.25">
      <c r="A18" s="23" t="s">
        <v>42</v>
      </c>
      <c r="B18" s="23"/>
      <c r="C18" s="24" t="s">
        <v>69</v>
      </c>
      <c r="D18" s="24"/>
      <c r="E18" s="24"/>
      <c r="F18" s="24"/>
      <c r="G18" s="18"/>
      <c r="H18" s="18"/>
      <c r="I18" s="18"/>
      <c r="J18" s="17"/>
    </row>
    <row r="19" spans="1:10" x14ac:dyDescent="0.25">
      <c r="G19" s="18"/>
      <c r="H19" s="18"/>
      <c r="I19" s="18"/>
      <c r="J19" s="17"/>
    </row>
    <row r="20" spans="1:10" x14ac:dyDescent="0.25">
      <c r="A20" s="26" t="s">
        <v>43</v>
      </c>
      <c r="B20" s="26"/>
      <c r="G20" s="18"/>
      <c r="H20" s="18"/>
      <c r="I20" s="18"/>
      <c r="J20" s="17"/>
    </row>
    <row r="21" spans="1:10" x14ac:dyDescent="0.25">
      <c r="A21" s="3" t="s">
        <v>28</v>
      </c>
      <c r="B21" s="3" t="s">
        <v>35</v>
      </c>
      <c r="C21" s="3" t="s">
        <v>36</v>
      </c>
      <c r="D21" s="3" t="s">
        <v>44</v>
      </c>
      <c r="E21" s="3" t="s">
        <v>45</v>
      </c>
      <c r="G21" s="18"/>
      <c r="H21" s="18"/>
      <c r="I21" s="18"/>
      <c r="J21" s="17"/>
    </row>
    <row r="22" spans="1:10" x14ac:dyDescent="0.25">
      <c r="A22" s="3" t="s">
        <v>19</v>
      </c>
      <c r="B22" s="4" t="str">
        <f>"10/9"</f>
        <v>10/9</v>
      </c>
      <c r="C22" s="10">
        <v>1.5029999999999999</v>
      </c>
      <c r="D22" s="8">
        <f>((C22)*(H22)*(I22))/(G22*$F$7)</f>
        <v>345.9233713265354</v>
      </c>
      <c r="E22" s="8">
        <f>D22/10000</f>
        <v>3.4592337132653542E-2</v>
      </c>
      <c r="G22" s="18">
        <f>digestion_page!B17</f>
        <v>0.50490000000000002</v>
      </c>
      <c r="H22" s="18">
        <f>digestion_page!C17</f>
        <v>100</v>
      </c>
      <c r="I22" s="18">
        <f>(LEFT(B22,FIND("/",B22)-1)/RIGHT(B22,LEN(B22)-FIND("/", B22)))</f>
        <v>1.1111111111111112</v>
      </c>
      <c r="J22" s="17"/>
    </row>
    <row r="23" spans="1:10" x14ac:dyDescent="0.25">
      <c r="A23" s="3" t="s">
        <v>20</v>
      </c>
      <c r="B23" s="4" t="str">
        <f>"10/9"</f>
        <v>10/9</v>
      </c>
      <c r="C23" s="10">
        <v>1.468</v>
      </c>
      <c r="D23" s="8">
        <f>((C23)*(H23)*(I23))/(G23*$F$7)</f>
        <v>336.33580702462467</v>
      </c>
      <c r="E23" s="8">
        <f>D23/10000</f>
        <v>3.3633580702462466E-2</v>
      </c>
      <c r="G23" s="18">
        <f>digestion_page!B18</f>
        <v>0.50719999999999998</v>
      </c>
      <c r="H23" s="18">
        <f>digestion_page!C18</f>
        <v>100</v>
      </c>
      <c r="I23" s="18">
        <f>(LEFT(B23,FIND("/",B23)-1)/RIGHT(B23,LEN(B23)-FIND("/", B23)))</f>
        <v>1.1111111111111112</v>
      </c>
      <c r="J23" s="17"/>
    </row>
    <row r="24" spans="1:10" x14ac:dyDescent="0.25">
      <c r="G24" s="17"/>
      <c r="H24" s="17"/>
      <c r="I24" s="17"/>
      <c r="J24" s="17"/>
    </row>
    <row r="25" spans="1:10" x14ac:dyDescent="0.25">
      <c r="A25" s="27" t="s">
        <v>46</v>
      </c>
      <c r="B25" s="27"/>
      <c r="C25" s="16">
        <f>AVERAGE(D22:D23)</f>
        <v>341.12958917558001</v>
      </c>
      <c r="G25" s="17"/>
      <c r="H25" s="17"/>
      <c r="I25" s="17"/>
      <c r="J25" s="17"/>
    </row>
    <row r="26" spans="1:10" x14ac:dyDescent="0.25">
      <c r="A26" s="23" t="s">
        <v>46</v>
      </c>
      <c r="B26" s="23"/>
      <c r="C26" s="13">
        <f>AVERAGE(E22:E23)</f>
        <v>3.4112958917558001E-2</v>
      </c>
      <c r="G26" s="17"/>
      <c r="H26" s="17"/>
      <c r="I26" s="17"/>
      <c r="J26" s="17"/>
    </row>
    <row r="27" spans="1:10" x14ac:dyDescent="0.25">
      <c r="A27" s="23" t="s">
        <v>47</v>
      </c>
      <c r="B27" s="23"/>
      <c r="C27" s="9"/>
      <c r="G27" s="17"/>
      <c r="H27" s="17"/>
      <c r="I27" s="17"/>
      <c r="J27" s="17"/>
    </row>
    <row r="28" spans="1:10" x14ac:dyDescent="0.25">
      <c r="A28" s="23" t="s">
        <v>48</v>
      </c>
      <c r="B28" s="23"/>
      <c r="C28" s="13">
        <f>AVERAGE(E22:E23)*(C27)</f>
        <v>0</v>
      </c>
      <c r="G28" s="17"/>
      <c r="H28" s="17"/>
      <c r="I28" s="17"/>
      <c r="J28" s="17"/>
    </row>
    <row r="29" spans="1:10" x14ac:dyDescent="0.25">
      <c r="A29" s="23" t="s">
        <v>49</v>
      </c>
      <c r="B29" s="23"/>
      <c r="C29" s="24" t="s">
        <v>70</v>
      </c>
      <c r="D29" s="24"/>
      <c r="E29" s="24"/>
      <c r="F29" s="24"/>
      <c r="G29" s="17"/>
      <c r="H29" s="17"/>
      <c r="I29" s="17"/>
      <c r="J29" s="17"/>
    </row>
    <row r="30" spans="1:10" x14ac:dyDescent="0.25">
      <c r="H30" s="17"/>
      <c r="I30" s="17"/>
      <c r="J30" s="17"/>
    </row>
    <row r="31" spans="1:10" x14ac:dyDescent="0.25">
      <c r="B31" s="6" t="s">
        <v>50</v>
      </c>
      <c r="C31" s="25"/>
      <c r="D31" s="25"/>
      <c r="E31" s="25"/>
      <c r="F31" s="25"/>
      <c r="H31" s="17"/>
      <c r="I31" s="17"/>
      <c r="J31" s="17"/>
    </row>
    <row r="32" spans="1:10" x14ac:dyDescent="0.25">
      <c r="C32" s="25"/>
      <c r="D32" s="25"/>
      <c r="E32" s="25"/>
      <c r="F32" s="25"/>
      <c r="H32" s="17"/>
      <c r="I32" s="17"/>
      <c r="J32" s="17"/>
    </row>
    <row r="33" spans="3:10" x14ac:dyDescent="0.25">
      <c r="C33" s="25"/>
      <c r="D33" s="25"/>
      <c r="E33" s="25"/>
      <c r="F33" s="25"/>
      <c r="H33" s="17"/>
      <c r="I33" s="17"/>
      <c r="J33" s="17"/>
    </row>
    <row r="34" spans="3:10" x14ac:dyDescent="0.25">
      <c r="H34" s="17"/>
      <c r="I34" s="17"/>
      <c r="J34" s="17"/>
    </row>
  </sheetData>
  <mergeCells count="1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C31:F33"/>
  </mergeCells>
  <conditionalFormatting sqref="B5">
    <cfRule type="containsBlanks" dxfId="11" priority="2">
      <formula>LEN(TRIM(B5))=0</formula>
    </cfRule>
  </conditionalFormatting>
  <conditionalFormatting sqref="C18:F18">
    <cfRule type="containsBlanks" dxfId="10" priority="1">
      <formula>LEN(TRIM(C18))=0</formula>
    </cfRule>
  </conditionalFormatting>
  <conditionalFormatting sqref="C29:F29">
    <cfRule type="containsBlanks" dxfId="9" priority="4">
      <formula>LEN(TRIM(C29))=0</formula>
    </cfRule>
  </conditionalFormatting>
  <pageMargins left="0.7" right="0.7" top="0.75" bottom="0.75" header="0.3" footer="0.3"/>
  <pageSetup scale="82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workbookViewId="0">
      <selection activeCell="C29" sqref="C29:F29"/>
    </sheetView>
  </sheetViews>
  <sheetFormatPr defaultRowHeight="15" x14ac:dyDescent="0.25"/>
  <cols>
    <col min="1" max="1" width="14.5703125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</cols>
  <sheetData>
    <row r="1" spans="1:9" x14ac:dyDescent="0.25">
      <c r="A1" s="1" t="s">
        <v>0</v>
      </c>
      <c r="B1" s="2">
        <v>46142</v>
      </c>
    </row>
    <row r="2" spans="1:9" x14ac:dyDescent="0.25">
      <c r="A2" s="1" t="s">
        <v>1</v>
      </c>
      <c r="B2" t="s">
        <v>2</v>
      </c>
    </row>
    <row r="5" spans="1:9" x14ac:dyDescent="0.25">
      <c r="A5" s="6" t="s">
        <v>27</v>
      </c>
      <c r="B5" s="7">
        <v>900</v>
      </c>
    </row>
    <row r="6" spans="1:9" x14ac:dyDescent="0.25">
      <c r="A6" s="3" t="s">
        <v>28</v>
      </c>
      <c r="B6" s="3" t="s">
        <v>29</v>
      </c>
      <c r="C6" s="3" t="s">
        <v>30</v>
      </c>
      <c r="D6" s="3" t="str">
        <f>"after "&amp;B5&amp;" °C"</f>
        <v>after 900 °C</v>
      </c>
      <c r="E6" s="3" t="s">
        <v>31</v>
      </c>
      <c r="F6" s="3" t="s">
        <v>32</v>
      </c>
    </row>
    <row r="7" spans="1:9" x14ac:dyDescent="0.25">
      <c r="A7" s="3" t="s">
        <v>51</v>
      </c>
      <c r="B7" s="4">
        <v>23.377300000000002</v>
      </c>
      <c r="C7" s="4">
        <v>25.379200000000001</v>
      </c>
      <c r="D7" s="4">
        <v>25.245100000000001</v>
      </c>
      <c r="E7" s="8">
        <f>(((C7-B7)-(D7-B7))/(C7-B7))*100</f>
        <v>6.6986362955192655</v>
      </c>
      <c r="F7" s="5">
        <f>1-(E7/100)</f>
        <v>0.93301363704480733</v>
      </c>
    </row>
    <row r="9" spans="1:9" x14ac:dyDescent="0.25">
      <c r="A9" s="26" t="s">
        <v>34</v>
      </c>
      <c r="B9" s="26"/>
    </row>
    <row r="10" spans="1:9" x14ac:dyDescent="0.25">
      <c r="A10" s="3" t="s">
        <v>28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9" x14ac:dyDescent="0.25">
      <c r="A11" s="3" t="s">
        <v>21</v>
      </c>
      <c r="B11" s="4" t="str">
        <f>"100/0.23"</f>
        <v>100/0.23</v>
      </c>
      <c r="C11" s="10">
        <v>2.282</v>
      </c>
      <c r="D11" s="8">
        <f>((C11)*(H11)*(I11))/(G11*$F$7)</f>
        <v>211287.05129311117</v>
      </c>
      <c r="E11" s="8">
        <f>D11/10000</f>
        <v>21.128705129311118</v>
      </c>
      <c r="G11" s="11">
        <f>digestion_page!B19</f>
        <v>0.50329999999999997</v>
      </c>
      <c r="H11" s="11">
        <f>digestion_page!C19</f>
        <v>100</v>
      </c>
      <c r="I11" s="11">
        <f>(LEFT(B11,FIND("/",B11)-1)/RIGHT(B11,LEN(B11)-FIND("/", B11)))</f>
        <v>434.78260869565213</v>
      </c>
    </row>
    <row r="12" spans="1:9" x14ac:dyDescent="0.25">
      <c r="A12" s="3" t="s">
        <v>22</v>
      </c>
      <c r="B12" s="4" t="str">
        <f>"100/0.23"</f>
        <v>100/0.23</v>
      </c>
      <c r="C12" s="10">
        <v>2.294</v>
      </c>
      <c r="D12" s="8">
        <f>((C12)*(H12)*(I12))/(G12*$F$7)</f>
        <v>211515.57314994349</v>
      </c>
      <c r="E12" s="8">
        <f>D12/10000</f>
        <v>21.151557314994349</v>
      </c>
      <c r="G12" s="11">
        <f>digestion_page!B20</f>
        <v>0.50539999999999996</v>
      </c>
      <c r="H12" s="11">
        <f>digestion_page!C20</f>
        <v>100</v>
      </c>
      <c r="I12" s="11">
        <f>(LEFT(B12,FIND("/",B12)-1)/RIGHT(B12,LEN(B12)-FIND("/", B12)))</f>
        <v>434.78260869565213</v>
      </c>
    </row>
    <row r="14" spans="1:9" x14ac:dyDescent="0.25">
      <c r="A14" s="23" t="s">
        <v>39</v>
      </c>
      <c r="B14" s="23"/>
      <c r="C14" s="12">
        <f>AVERAGE(D11:D12)</f>
        <v>211401.31222152733</v>
      </c>
    </row>
    <row r="15" spans="1:9" x14ac:dyDescent="0.25">
      <c r="A15" s="27" t="s">
        <v>39</v>
      </c>
      <c r="B15" s="27"/>
      <c r="C15" s="15">
        <f>AVERAGE(E11:E12)</f>
        <v>21.140131222152732</v>
      </c>
    </row>
    <row r="16" spans="1:9" x14ac:dyDescent="0.25">
      <c r="A16" s="23" t="s">
        <v>40</v>
      </c>
      <c r="B16" s="23"/>
      <c r="C16" s="9"/>
    </row>
    <row r="17" spans="1:9" x14ac:dyDescent="0.25">
      <c r="A17" s="23" t="s">
        <v>41</v>
      </c>
      <c r="B17" s="23"/>
      <c r="C17" s="13">
        <f>AVERAGE(E11:E12)*(C16)</f>
        <v>0</v>
      </c>
    </row>
    <row r="18" spans="1:9" x14ac:dyDescent="0.25">
      <c r="A18" s="23" t="s">
        <v>42</v>
      </c>
      <c r="B18" s="23"/>
      <c r="C18" s="24" t="s">
        <v>69</v>
      </c>
      <c r="D18" s="24"/>
      <c r="E18" s="24"/>
      <c r="F18" s="24"/>
    </row>
    <row r="20" spans="1:9" x14ac:dyDescent="0.25">
      <c r="A20" s="26" t="s">
        <v>43</v>
      </c>
      <c r="B20" s="26"/>
    </row>
    <row r="21" spans="1:9" x14ac:dyDescent="0.25">
      <c r="A21" s="3" t="s">
        <v>28</v>
      </c>
      <c r="B21" s="3" t="s">
        <v>35</v>
      </c>
      <c r="C21" s="3" t="s">
        <v>36</v>
      </c>
      <c r="D21" s="3" t="s">
        <v>44</v>
      </c>
      <c r="E21" s="3" t="s">
        <v>45</v>
      </c>
    </row>
    <row r="22" spans="1:9" x14ac:dyDescent="0.25">
      <c r="A22" s="3" t="s">
        <v>21</v>
      </c>
      <c r="B22" s="4" t="str">
        <f>"10/9"</f>
        <v>10/9</v>
      </c>
      <c r="C22" s="10">
        <v>1.4079999999999999</v>
      </c>
      <c r="D22" s="8">
        <f>((C22)*(H22)*(I22))/(G22*$F$7)</f>
        <v>333.15414690213811</v>
      </c>
      <c r="E22" s="8">
        <f>D22/10000</f>
        <v>3.3315414690213811E-2</v>
      </c>
      <c r="G22" s="11">
        <f>digestion_page!B19</f>
        <v>0.50329999999999997</v>
      </c>
      <c r="H22" s="11">
        <f>digestion_page!C19</f>
        <v>100</v>
      </c>
      <c r="I22" s="11">
        <f>(LEFT(B22,FIND("/",B22)-1)/RIGHT(B22,LEN(B22)-FIND("/", B22)))</f>
        <v>1.1111111111111112</v>
      </c>
    </row>
    <row r="23" spans="1:9" x14ac:dyDescent="0.25">
      <c r="A23" s="3" t="s">
        <v>22</v>
      </c>
      <c r="B23" s="4" t="str">
        <f>"10/9"</f>
        <v>10/9</v>
      </c>
      <c r="C23" s="10">
        <v>1.448</v>
      </c>
      <c r="D23" s="8">
        <f>((C23)*(H23)*(I23))/(G23*$F$7)</f>
        <v>341.19512971935086</v>
      </c>
      <c r="E23" s="8">
        <f>D23/10000</f>
        <v>3.4119512971935086E-2</v>
      </c>
      <c r="G23" s="11">
        <f>digestion_page!B20</f>
        <v>0.50539999999999996</v>
      </c>
      <c r="H23" s="11">
        <f>digestion_page!C20</f>
        <v>100</v>
      </c>
      <c r="I23" s="11">
        <f>(LEFT(B23,FIND("/",B23)-1)/RIGHT(B23,LEN(B23)-FIND("/", B23)))</f>
        <v>1.1111111111111112</v>
      </c>
    </row>
    <row r="25" spans="1:9" x14ac:dyDescent="0.25">
      <c r="A25" s="27" t="s">
        <v>46</v>
      </c>
      <c r="B25" s="27"/>
      <c r="C25" s="16">
        <f>AVERAGE(D22:D23)</f>
        <v>337.17463831074451</v>
      </c>
    </row>
    <row r="26" spans="1:9" x14ac:dyDescent="0.25">
      <c r="A26" s="23" t="s">
        <v>46</v>
      </c>
      <c r="B26" s="23"/>
      <c r="C26" s="13">
        <f>AVERAGE(E22:E23)</f>
        <v>3.3717463831074448E-2</v>
      </c>
    </row>
    <row r="27" spans="1:9" x14ac:dyDescent="0.25">
      <c r="A27" s="23" t="s">
        <v>47</v>
      </c>
      <c r="B27" s="23"/>
      <c r="C27" s="9"/>
    </row>
    <row r="28" spans="1:9" x14ac:dyDescent="0.25">
      <c r="A28" s="23" t="s">
        <v>48</v>
      </c>
      <c r="B28" s="23"/>
      <c r="C28" s="13">
        <f>AVERAGE(E22:E23)*(C27)</f>
        <v>0</v>
      </c>
    </row>
    <row r="29" spans="1:9" x14ac:dyDescent="0.25">
      <c r="A29" s="23" t="s">
        <v>49</v>
      </c>
      <c r="B29" s="23"/>
      <c r="C29" s="24" t="s">
        <v>70</v>
      </c>
      <c r="D29" s="24"/>
      <c r="E29" s="24"/>
      <c r="F29" s="24"/>
    </row>
    <row r="31" spans="1:9" x14ac:dyDescent="0.25">
      <c r="B31" s="6" t="s">
        <v>50</v>
      </c>
      <c r="C31" s="25"/>
      <c r="D31" s="25"/>
      <c r="E31" s="25"/>
      <c r="F31" s="25"/>
    </row>
    <row r="32" spans="1:9" x14ac:dyDescent="0.25">
      <c r="C32" s="25"/>
      <c r="D32" s="25"/>
      <c r="E32" s="25"/>
      <c r="F32" s="25"/>
    </row>
    <row r="33" spans="3:6" x14ac:dyDescent="0.25">
      <c r="C33" s="25"/>
      <c r="D33" s="25"/>
      <c r="E33" s="25"/>
      <c r="F33" s="25"/>
    </row>
  </sheetData>
  <mergeCells count="1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C31:F33"/>
  </mergeCells>
  <conditionalFormatting sqref="B5">
    <cfRule type="containsBlanks" dxfId="8" priority="1">
      <formula>LEN(TRIM(B5))=0</formula>
    </cfRule>
  </conditionalFormatting>
  <conditionalFormatting sqref="C18:F18">
    <cfRule type="containsBlanks" dxfId="7" priority="2">
      <formula>LEN(TRIM(C18))=0</formula>
    </cfRule>
  </conditionalFormatting>
  <conditionalFormatting sqref="C29:F29">
    <cfRule type="containsBlanks" dxfId="6" priority="3">
      <formula>LEN(TRIM(C29))=0</formula>
    </cfRule>
  </conditionalFormatting>
  <pageMargins left="0.7" right="0.7" top="0.75" bottom="0.75" header="0.3" footer="0.3"/>
  <pageSetup scale="82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3"/>
  <sheetViews>
    <sheetView workbookViewId="0">
      <selection activeCell="F26" sqref="F26"/>
    </sheetView>
  </sheetViews>
  <sheetFormatPr defaultRowHeight="15" x14ac:dyDescent="0.25"/>
  <cols>
    <col min="1" max="1" width="14.5703125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</cols>
  <sheetData>
    <row r="1" spans="1:9" x14ac:dyDescent="0.25">
      <c r="A1" s="1" t="s">
        <v>0</v>
      </c>
      <c r="B1" s="2">
        <v>46142</v>
      </c>
    </row>
    <row r="2" spans="1:9" x14ac:dyDescent="0.25">
      <c r="A2" s="1" t="s">
        <v>1</v>
      </c>
      <c r="B2" t="s">
        <v>2</v>
      </c>
    </row>
    <row r="5" spans="1:9" x14ac:dyDescent="0.25">
      <c r="A5" s="6" t="s">
        <v>27</v>
      </c>
      <c r="B5" s="7">
        <v>900</v>
      </c>
    </row>
    <row r="6" spans="1:9" x14ac:dyDescent="0.25">
      <c r="A6" s="3" t="s">
        <v>28</v>
      </c>
      <c r="B6" s="3" t="s">
        <v>29</v>
      </c>
      <c r="C6" s="3" t="s">
        <v>30</v>
      </c>
      <c r="D6" s="3" t="str">
        <f>"after "&amp;B5&amp;" °C"</f>
        <v>after 900 °C</v>
      </c>
      <c r="E6" s="3" t="s">
        <v>31</v>
      </c>
      <c r="F6" s="3" t="s">
        <v>32</v>
      </c>
    </row>
    <row r="7" spans="1:9" x14ac:dyDescent="0.25">
      <c r="A7" s="3" t="s">
        <v>52</v>
      </c>
      <c r="B7" s="4">
        <v>27.148800000000001</v>
      </c>
      <c r="C7" s="4">
        <v>29.154199999999999</v>
      </c>
      <c r="D7" s="4">
        <v>29.0779</v>
      </c>
      <c r="E7" s="8">
        <f>(((C7-B7)-(D7-B7))/(C7-B7))*100</f>
        <v>3.8047272364615483</v>
      </c>
      <c r="F7" s="5">
        <f>1-(E7/100)</f>
        <v>0.96195272763538453</v>
      </c>
    </row>
    <row r="9" spans="1:9" x14ac:dyDescent="0.25">
      <c r="A9" s="26" t="s">
        <v>34</v>
      </c>
      <c r="B9" s="26"/>
    </row>
    <row r="10" spans="1:9" x14ac:dyDescent="0.25">
      <c r="A10" s="3" t="s">
        <v>28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9" x14ac:dyDescent="0.25">
      <c r="A11" s="3" t="s">
        <v>23</v>
      </c>
      <c r="B11" s="4" t="str">
        <f>"100/0.23"</f>
        <v>100/0.23</v>
      </c>
      <c r="C11" s="10">
        <v>2.2890000000000001</v>
      </c>
      <c r="D11" s="8">
        <f>((C11)*(H11)*(I11))/(G11*$F$7)</f>
        <v>205111.09272991412</v>
      </c>
      <c r="E11" s="8">
        <f>D11/10000</f>
        <v>20.511109272991412</v>
      </c>
      <c r="G11" s="11">
        <f>digestion_page!B21</f>
        <v>0.50439999999999996</v>
      </c>
      <c r="H11" s="11">
        <f>digestion_page!C21</f>
        <v>100</v>
      </c>
      <c r="I11" s="11">
        <f>(LEFT(B11,FIND("/",B11)-1)/RIGHT(B11,LEN(B11)-FIND("/", B11)))</f>
        <v>434.78260869565213</v>
      </c>
    </row>
    <row r="12" spans="1:9" x14ac:dyDescent="0.25">
      <c r="A12" s="3" t="s">
        <v>24</v>
      </c>
      <c r="B12" s="4" t="str">
        <f>"100/0.23"</f>
        <v>100/0.23</v>
      </c>
      <c r="C12" s="10">
        <v>2.3650000000000002</v>
      </c>
      <c r="D12" s="8">
        <f>((C12)*(H12)*(I12))/(G12*$F$7)</f>
        <v>210834.47134099968</v>
      </c>
      <c r="E12" s="8">
        <f>D12/10000</f>
        <v>21.083447134099966</v>
      </c>
      <c r="G12" s="11">
        <f>digestion_page!B22</f>
        <v>0.50700000000000001</v>
      </c>
      <c r="H12" s="11">
        <f>digestion_page!C22</f>
        <v>100</v>
      </c>
      <c r="I12" s="11">
        <f>(LEFT(B12,FIND("/",B12)-1)/RIGHT(B12,LEN(B12)-FIND("/", B12)))</f>
        <v>434.78260869565213</v>
      </c>
    </row>
    <row r="14" spans="1:9" x14ac:dyDescent="0.25">
      <c r="A14" s="23" t="s">
        <v>39</v>
      </c>
      <c r="B14" s="23"/>
      <c r="C14" s="12">
        <f>AVERAGE(D11:D12)</f>
        <v>207972.78203545691</v>
      </c>
    </row>
    <row r="15" spans="1:9" x14ac:dyDescent="0.25">
      <c r="A15" s="27" t="s">
        <v>39</v>
      </c>
      <c r="B15" s="27"/>
      <c r="C15" s="15">
        <f>AVERAGE(E11:E12)</f>
        <v>20.797278203545687</v>
      </c>
    </row>
    <row r="16" spans="1:9" x14ac:dyDescent="0.25">
      <c r="A16" s="23" t="s">
        <v>40</v>
      </c>
      <c r="B16" s="23"/>
      <c r="C16" s="9"/>
    </row>
    <row r="17" spans="1:9" x14ac:dyDescent="0.25">
      <c r="A17" s="23" t="s">
        <v>41</v>
      </c>
      <c r="B17" s="23"/>
      <c r="C17" s="13">
        <f>AVERAGE(E11:E12)*(C16)</f>
        <v>0</v>
      </c>
    </row>
    <row r="18" spans="1:9" x14ac:dyDescent="0.25">
      <c r="A18" s="23" t="s">
        <v>42</v>
      </c>
      <c r="B18" s="23"/>
      <c r="C18" s="24" t="s">
        <v>69</v>
      </c>
      <c r="D18" s="24"/>
      <c r="E18" s="24"/>
      <c r="F18" s="24"/>
    </row>
    <row r="20" spans="1:9" x14ac:dyDescent="0.25">
      <c r="A20" s="26" t="s">
        <v>43</v>
      </c>
      <c r="B20" s="26"/>
    </row>
    <row r="21" spans="1:9" x14ac:dyDescent="0.25">
      <c r="A21" s="3" t="s">
        <v>28</v>
      </c>
      <c r="B21" s="3" t="s">
        <v>35</v>
      </c>
      <c r="C21" s="3" t="s">
        <v>36</v>
      </c>
      <c r="D21" s="3" t="s">
        <v>44</v>
      </c>
      <c r="E21" s="3" t="s">
        <v>45</v>
      </c>
    </row>
    <row r="22" spans="1:9" x14ac:dyDescent="0.25">
      <c r="A22" s="3" t="s">
        <v>23</v>
      </c>
      <c r="B22" s="4" t="str">
        <f>"10/9"</f>
        <v>10/9</v>
      </c>
      <c r="C22" s="10">
        <v>2.173</v>
      </c>
      <c r="D22" s="8">
        <f>((C22)*(H22)*(I22))/(G22*$F$7)</f>
        <v>497.60920846310279</v>
      </c>
      <c r="E22" s="8">
        <f>D22/10000</f>
        <v>4.9760920846310279E-2</v>
      </c>
      <c r="G22" s="11">
        <f>digestion_page!B21</f>
        <v>0.50439999999999996</v>
      </c>
      <c r="H22" s="11">
        <f>digestion_page!C21</f>
        <v>100</v>
      </c>
      <c r="I22" s="11">
        <f>(LEFT(B22,FIND("/",B22)-1)/RIGHT(B22,LEN(B22)-FIND("/", B22)))</f>
        <v>1.1111111111111112</v>
      </c>
    </row>
    <row r="23" spans="1:9" x14ac:dyDescent="0.25">
      <c r="A23" s="3" t="s">
        <v>24</v>
      </c>
      <c r="B23" s="4" t="str">
        <f>"10/9"</f>
        <v>10/9</v>
      </c>
      <c r="C23" s="10">
        <v>2.1800000000000002</v>
      </c>
      <c r="D23" s="8">
        <f>((C23)*(H23)*(I23))/(G23*$F$7)</f>
        <v>496.65212088502346</v>
      </c>
      <c r="E23" s="8">
        <f>D23/10000</f>
        <v>4.9665212088502345E-2</v>
      </c>
      <c r="G23" s="11">
        <f>digestion_page!B22</f>
        <v>0.50700000000000001</v>
      </c>
      <c r="H23" s="11">
        <f>digestion_page!C22</f>
        <v>100</v>
      </c>
      <c r="I23" s="11">
        <f>(LEFT(B23,FIND("/",B23)-1)/RIGHT(B23,LEN(B23)-FIND("/", B23)))</f>
        <v>1.1111111111111112</v>
      </c>
    </row>
    <row r="25" spans="1:9" x14ac:dyDescent="0.25">
      <c r="A25" s="27" t="s">
        <v>46</v>
      </c>
      <c r="B25" s="27"/>
      <c r="C25" s="16">
        <f>AVERAGE(D22:D23)</f>
        <v>497.13066467406315</v>
      </c>
    </row>
    <row r="26" spans="1:9" x14ac:dyDescent="0.25">
      <c r="A26" s="23" t="s">
        <v>46</v>
      </c>
      <c r="B26" s="23"/>
      <c r="C26" s="13">
        <f>AVERAGE(E22:E23)</f>
        <v>4.9713066467406308E-2</v>
      </c>
    </row>
    <row r="27" spans="1:9" x14ac:dyDescent="0.25">
      <c r="A27" s="23" t="s">
        <v>47</v>
      </c>
      <c r="B27" s="23"/>
      <c r="C27" s="9"/>
    </row>
    <row r="28" spans="1:9" x14ac:dyDescent="0.25">
      <c r="A28" s="23" t="s">
        <v>48</v>
      </c>
      <c r="B28" s="23"/>
      <c r="C28" s="13">
        <f>AVERAGE(E22:E23)*(C27)</f>
        <v>0</v>
      </c>
    </row>
    <row r="29" spans="1:9" x14ac:dyDescent="0.25">
      <c r="A29" s="23" t="s">
        <v>49</v>
      </c>
      <c r="B29" s="23"/>
      <c r="C29" s="24" t="s">
        <v>70</v>
      </c>
      <c r="D29" s="24"/>
      <c r="E29" s="24"/>
      <c r="F29" s="24"/>
    </row>
    <row r="31" spans="1:9" x14ac:dyDescent="0.25">
      <c r="B31" s="6" t="s">
        <v>50</v>
      </c>
      <c r="C31" s="25"/>
      <c r="D31" s="25"/>
      <c r="E31" s="25"/>
      <c r="F31" s="25"/>
    </row>
    <row r="32" spans="1:9" x14ac:dyDescent="0.25">
      <c r="C32" s="25"/>
      <c r="D32" s="25"/>
      <c r="E32" s="25"/>
      <c r="F32" s="25"/>
    </row>
    <row r="33" spans="3:6" x14ac:dyDescent="0.25">
      <c r="C33" s="25"/>
      <c r="D33" s="25"/>
      <c r="E33" s="25"/>
      <c r="F33" s="25"/>
    </row>
  </sheetData>
  <mergeCells count="1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C31:F33"/>
  </mergeCells>
  <conditionalFormatting sqref="B5">
    <cfRule type="containsBlanks" dxfId="5" priority="2">
      <formula>LEN(TRIM(B5))=0</formula>
    </cfRule>
  </conditionalFormatting>
  <conditionalFormatting sqref="C18:F18">
    <cfRule type="containsBlanks" dxfId="4" priority="1">
      <formula>LEN(TRIM(C18))=0</formula>
    </cfRule>
  </conditionalFormatting>
  <conditionalFormatting sqref="C29:F29">
    <cfRule type="containsBlanks" dxfId="3" priority="4">
      <formula>LEN(TRIM(C29))=0</formula>
    </cfRule>
  </conditionalFormatting>
  <pageMargins left="0.7" right="0.7" top="0.75" bottom="0.75" header="0.3" footer="0.3"/>
  <pageSetup scale="82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tabSelected="1" zoomScaleNormal="100" workbookViewId="0">
      <selection activeCell="S8" sqref="S8"/>
    </sheetView>
  </sheetViews>
  <sheetFormatPr defaultRowHeight="15" x14ac:dyDescent="0.25"/>
  <cols>
    <col min="1" max="1" width="14.5703125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customWidth="1"/>
  </cols>
  <sheetData>
    <row r="1" spans="1:9" x14ac:dyDescent="0.25">
      <c r="A1" s="1" t="s">
        <v>0</v>
      </c>
      <c r="B1" s="2">
        <v>46142</v>
      </c>
    </row>
    <row r="2" spans="1:9" x14ac:dyDescent="0.25">
      <c r="A2" s="1" t="s">
        <v>1</v>
      </c>
      <c r="B2" t="s">
        <v>2</v>
      </c>
    </row>
    <row r="5" spans="1:9" x14ac:dyDescent="0.25">
      <c r="A5" s="6" t="s">
        <v>27</v>
      </c>
      <c r="B5" s="7">
        <v>900</v>
      </c>
    </row>
    <row r="6" spans="1:9" x14ac:dyDescent="0.25">
      <c r="A6" s="3" t="s">
        <v>28</v>
      </c>
      <c r="B6" s="3" t="s">
        <v>29</v>
      </c>
      <c r="C6" s="3" t="s">
        <v>30</v>
      </c>
      <c r="D6" s="3" t="str">
        <f>"after "&amp;B5&amp;" °C"</f>
        <v>after 900 °C</v>
      </c>
      <c r="E6" s="3" t="s">
        <v>31</v>
      </c>
      <c r="F6" s="3" t="s">
        <v>32</v>
      </c>
    </row>
    <row r="7" spans="1:9" x14ac:dyDescent="0.25">
      <c r="A7" s="3" t="s">
        <v>53</v>
      </c>
      <c r="B7" s="4">
        <v>26.496700000000001</v>
      </c>
      <c r="C7" s="4">
        <v>28.5045</v>
      </c>
      <c r="D7" s="4">
        <v>28.420999999999999</v>
      </c>
      <c r="E7" s="8">
        <f>(((C7-B7)-(D7-B7))/(C7-B7))*100</f>
        <v>4.1587807550553251</v>
      </c>
      <c r="F7" s="5">
        <f>1-(E7/100)</f>
        <v>0.95841219244944675</v>
      </c>
    </row>
    <row r="9" spans="1:9" x14ac:dyDescent="0.25">
      <c r="A9" s="26" t="s">
        <v>34</v>
      </c>
      <c r="B9" s="26"/>
    </row>
    <row r="10" spans="1:9" x14ac:dyDescent="0.25">
      <c r="A10" s="3" t="s">
        <v>28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9" x14ac:dyDescent="0.25">
      <c r="A11" s="3" t="s">
        <v>25</v>
      </c>
      <c r="B11" s="4" t="str">
        <f>"100/0.2"</f>
        <v>100/0.2</v>
      </c>
      <c r="C11" s="10">
        <v>1.518</v>
      </c>
      <c r="D11" s="8">
        <f>((C11)*(H11)*(I11))/(G11*$F$7)</f>
        <v>156508.86036480806</v>
      </c>
      <c r="E11" s="8">
        <f>D11/10000</f>
        <v>15.650886036480806</v>
      </c>
      <c r="G11" s="11">
        <f>digestion_page!B23</f>
        <v>0.50600000000000001</v>
      </c>
      <c r="H11" s="11">
        <f>digestion_page!C23</f>
        <v>100</v>
      </c>
      <c r="I11" s="11">
        <f>(LEFT(B11,FIND("/",B11)-1)/RIGHT(B11,LEN(B11)-FIND("/", B11)))</f>
        <v>500</v>
      </c>
    </row>
    <row r="12" spans="1:9" x14ac:dyDescent="0.25">
      <c r="A12" s="3" t="s">
        <v>26</v>
      </c>
      <c r="B12" s="4" t="str">
        <f>"100/0.2"</f>
        <v>100/0.2</v>
      </c>
      <c r="C12" s="10">
        <v>1.64</v>
      </c>
      <c r="D12" s="8">
        <f>((C12)*(H12)*(I12))/(G12*$F$7)</f>
        <v>168554.3282100638</v>
      </c>
      <c r="E12" s="8">
        <f>D12/10000</f>
        <v>16.855432821006382</v>
      </c>
      <c r="G12" s="11">
        <f>digestion_page!B24</f>
        <v>0.50760000000000005</v>
      </c>
      <c r="H12" s="11">
        <f>digestion_page!C24</f>
        <v>100</v>
      </c>
      <c r="I12" s="11">
        <f>(LEFT(B12,FIND("/",B12)-1)/RIGHT(B12,LEN(B12)-FIND("/", B12)))</f>
        <v>500</v>
      </c>
    </row>
    <row r="14" spans="1:9" x14ac:dyDescent="0.25">
      <c r="A14" s="23" t="s">
        <v>39</v>
      </c>
      <c r="B14" s="23"/>
      <c r="C14" s="12">
        <f>AVERAGE(D11:D12)</f>
        <v>162531.59428743593</v>
      </c>
    </row>
    <row r="15" spans="1:9" x14ac:dyDescent="0.25">
      <c r="A15" s="27" t="s">
        <v>39</v>
      </c>
      <c r="B15" s="27"/>
      <c r="C15" s="15">
        <f>AVERAGE(E11:E12)</f>
        <v>16.253159428743594</v>
      </c>
    </row>
    <row r="16" spans="1:9" x14ac:dyDescent="0.25">
      <c r="A16" s="23" t="s">
        <v>40</v>
      </c>
      <c r="B16" s="23"/>
      <c r="C16" s="9"/>
    </row>
    <row r="17" spans="1:9" x14ac:dyDescent="0.25">
      <c r="A17" s="23" t="s">
        <v>41</v>
      </c>
      <c r="B17" s="23"/>
      <c r="C17" s="13">
        <f>AVERAGE(E11:E12)*(C16)</f>
        <v>0</v>
      </c>
    </row>
    <row r="18" spans="1:9" x14ac:dyDescent="0.25">
      <c r="A18" s="23" t="s">
        <v>42</v>
      </c>
      <c r="B18" s="23"/>
      <c r="C18" s="24" t="s">
        <v>69</v>
      </c>
      <c r="D18" s="24"/>
      <c r="E18" s="24"/>
      <c r="F18" s="24"/>
    </row>
    <row r="20" spans="1:9" x14ac:dyDescent="0.25">
      <c r="A20" s="26" t="s">
        <v>43</v>
      </c>
      <c r="B20" s="26"/>
    </row>
    <row r="21" spans="1:9" x14ac:dyDescent="0.25">
      <c r="A21" s="3" t="s">
        <v>28</v>
      </c>
      <c r="B21" s="3" t="s">
        <v>35</v>
      </c>
      <c r="C21" s="3" t="s">
        <v>36</v>
      </c>
      <c r="D21" s="3" t="s">
        <v>44</v>
      </c>
      <c r="E21" s="3" t="s">
        <v>45</v>
      </c>
    </row>
    <row r="22" spans="1:9" x14ac:dyDescent="0.25">
      <c r="A22" s="3" t="s">
        <v>25</v>
      </c>
      <c r="B22" s="4" t="str">
        <f>"10/9"</f>
        <v>10/9</v>
      </c>
      <c r="C22" s="10">
        <v>1.2430000000000001</v>
      </c>
      <c r="D22" s="8">
        <f>((C22)*(H22)*(I22))/(G22*$F$7)</f>
        <v>284.79067989087463</v>
      </c>
      <c r="E22" s="8">
        <f>D22/10000</f>
        <v>2.8479067989087462E-2</v>
      </c>
      <c r="G22" s="11">
        <f>digestion_page!B23</f>
        <v>0.50600000000000001</v>
      </c>
      <c r="H22" s="11">
        <f>digestion_page!C23</f>
        <v>100</v>
      </c>
      <c r="I22" s="11">
        <f>(LEFT(B22,FIND("/",B22)-1)/RIGHT(B22,LEN(B22)-FIND("/", B22)))</f>
        <v>1.1111111111111112</v>
      </c>
    </row>
    <row r="23" spans="1:9" x14ac:dyDescent="0.25">
      <c r="A23" s="3" t="s">
        <v>26</v>
      </c>
      <c r="B23" s="4" t="str">
        <f>"10/9"</f>
        <v>10/9</v>
      </c>
      <c r="C23" s="10">
        <v>1.2549999999999999</v>
      </c>
      <c r="D23" s="8">
        <f>((C23)*(H23)*(I23))/(G23*$F$7)</f>
        <v>286.63371531657191</v>
      </c>
      <c r="E23" s="8">
        <f>D23/10000</f>
        <v>2.866337153165719E-2</v>
      </c>
      <c r="G23" s="11">
        <f>digestion_page!B24</f>
        <v>0.50760000000000005</v>
      </c>
      <c r="H23" s="11">
        <f>digestion_page!C24</f>
        <v>100</v>
      </c>
      <c r="I23" s="11">
        <f>(LEFT(B23,FIND("/",B23)-1)/RIGHT(B23,LEN(B23)-FIND("/", B23)))</f>
        <v>1.1111111111111112</v>
      </c>
    </row>
    <row r="25" spans="1:9" x14ac:dyDescent="0.25">
      <c r="A25" s="27" t="s">
        <v>46</v>
      </c>
      <c r="B25" s="27"/>
      <c r="C25" s="16">
        <f>AVERAGE(D22:D23)</f>
        <v>285.71219760372327</v>
      </c>
    </row>
    <row r="26" spans="1:9" x14ac:dyDescent="0.25">
      <c r="A26" s="23" t="s">
        <v>46</v>
      </c>
      <c r="B26" s="23"/>
      <c r="C26" s="13">
        <f>AVERAGE(E22:E23)</f>
        <v>2.8571219760372326E-2</v>
      </c>
    </row>
    <row r="27" spans="1:9" x14ac:dyDescent="0.25">
      <c r="A27" s="23" t="s">
        <v>47</v>
      </c>
      <c r="B27" s="23"/>
      <c r="C27" s="9"/>
    </row>
    <row r="28" spans="1:9" x14ac:dyDescent="0.25">
      <c r="A28" s="23" t="s">
        <v>48</v>
      </c>
      <c r="B28" s="23"/>
      <c r="C28" s="13">
        <f>AVERAGE(E22:E23)*(C27)</f>
        <v>0</v>
      </c>
    </row>
    <row r="29" spans="1:9" x14ac:dyDescent="0.25">
      <c r="A29" s="23" t="s">
        <v>49</v>
      </c>
      <c r="B29" s="23"/>
      <c r="C29" s="24" t="s">
        <v>70</v>
      </c>
      <c r="D29" s="24"/>
      <c r="E29" s="24"/>
      <c r="F29" s="24"/>
    </row>
    <row r="31" spans="1:9" x14ac:dyDescent="0.25">
      <c r="B31" s="6" t="s">
        <v>50</v>
      </c>
      <c r="C31" s="25"/>
      <c r="D31" s="25"/>
      <c r="E31" s="25"/>
      <c r="F31" s="25"/>
    </row>
    <row r="32" spans="1:9" x14ac:dyDescent="0.25">
      <c r="C32" s="25"/>
      <c r="D32" s="25"/>
      <c r="E32" s="25"/>
      <c r="F32" s="25"/>
    </row>
    <row r="33" spans="3:6" x14ac:dyDescent="0.25">
      <c r="C33" s="25"/>
      <c r="D33" s="25"/>
      <c r="E33" s="25"/>
      <c r="F33" s="25"/>
    </row>
  </sheetData>
  <mergeCells count="1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C31:F33"/>
  </mergeCells>
  <conditionalFormatting sqref="B5">
    <cfRule type="containsBlanks" dxfId="2" priority="2">
      <formula>LEN(TRIM(B5))=0</formula>
    </cfRule>
  </conditionalFormatting>
  <conditionalFormatting sqref="C18:F18">
    <cfRule type="containsBlanks" dxfId="1" priority="1">
      <formula>LEN(TRIM(C18))=0</formula>
    </cfRule>
  </conditionalFormatting>
  <conditionalFormatting sqref="C29:F29">
    <cfRule type="containsBlanks" dxfId="0" priority="4">
      <formula>LEN(TRIM(C29))=0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3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4" t="s">
        <v>54</v>
      </c>
    </row>
    <row r="2" spans="1:1" x14ac:dyDescent="0.25">
      <c r="A2" s="14" t="s">
        <v>55</v>
      </c>
    </row>
    <row r="3" spans="1:1" x14ac:dyDescent="0.25">
      <c r="A3" s="14" t="s">
        <v>56</v>
      </c>
    </row>
    <row r="5" spans="1:1" x14ac:dyDescent="0.25">
      <c r="A5" s="14" t="s">
        <v>57</v>
      </c>
    </row>
    <row r="7" spans="1:1" x14ac:dyDescent="0.25">
      <c r="A7" s="14" t="s">
        <v>58</v>
      </c>
    </row>
    <row r="9" spans="1:1" x14ac:dyDescent="0.25">
      <c r="A9" s="14" t="s">
        <v>59</v>
      </c>
    </row>
    <row r="11" spans="1:1" x14ac:dyDescent="0.25">
      <c r="A11" s="14" t="s">
        <v>60</v>
      </c>
    </row>
    <row r="13" spans="1:1" x14ac:dyDescent="0.25">
      <c r="A13" s="14" t="s">
        <v>61</v>
      </c>
    </row>
    <row r="15" spans="1:1" x14ac:dyDescent="0.25">
      <c r="A15" s="14" t="s">
        <v>62</v>
      </c>
    </row>
    <row r="17" spans="1:1" x14ac:dyDescent="0.25">
      <c r="A17" s="14" t="s">
        <v>63</v>
      </c>
    </row>
    <row r="19" spans="1:1" x14ac:dyDescent="0.25">
      <c r="A19" s="14" t="s">
        <v>64</v>
      </c>
    </row>
    <row r="21" spans="1:1" x14ac:dyDescent="0.25">
      <c r="A21" s="14" t="s">
        <v>65</v>
      </c>
    </row>
    <row r="23" spans="1:1" x14ac:dyDescent="0.25">
      <c r="A23" s="14" t="s">
        <v>66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digestion_page</vt:lpstr>
      <vt:lpstr>200127788</vt:lpstr>
      <vt:lpstr>200127789</vt:lpstr>
      <vt:lpstr>200127790</vt:lpstr>
      <vt:lpstr>200127791</vt:lpstr>
      <vt:lpstr>formula_page</vt:lpstr>
      <vt:lpstr>'200127791'!Print_Area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Archemetre</cp:lastModifiedBy>
  <cp:lastPrinted>2026-04-30T20:20:24Z</cp:lastPrinted>
  <dcterms:created xsi:type="dcterms:W3CDTF">2026-04-30T15:30:08Z</dcterms:created>
  <dcterms:modified xsi:type="dcterms:W3CDTF">2026-04-30T20:27:20Z</dcterms:modified>
</cp:coreProperties>
</file>