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clariant-my.sharepoint.com/personal/carl_archemetre_clariant_com/Documents/Sumissions [excel]/2026/08 August/"/>
    </mc:Choice>
  </mc:AlternateContent>
  <xr:revisionPtr revIDLastSave="20" documentId="11_DF722D1D5575499077EBDBDB73183A6BDF00A9DA" xr6:coauthVersionLast="47" xr6:coauthVersionMax="47" xr10:uidLastSave="{0D813090-7388-4EFB-82A4-DF0B3F926092}"/>
  <bookViews>
    <workbookView xWindow="28680" yWindow="-1830" windowWidth="29040" windowHeight="15720" activeTab="1" xr2:uid="{00000000-000D-0000-FFFF-FFFF00000000}"/>
  </bookViews>
  <sheets>
    <sheet name="digestion_page" sheetId="1" r:id="rId1"/>
    <sheet name="200128744" sheetId="2" r:id="rId2"/>
    <sheet name="formula_page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8" i="2" l="1"/>
  <c r="I8" i="2" s="1"/>
  <c r="B7" i="2"/>
  <c r="I7" i="2" s="1"/>
  <c r="H8" i="2"/>
  <c r="G8" i="2"/>
  <c r="H7" i="2"/>
  <c r="G7" i="2"/>
  <c r="D7" i="2" l="1"/>
  <c r="D8" i="2"/>
  <c r="E8" i="2" s="1"/>
  <c r="C10" i="2" l="1"/>
  <c r="E7" i="2"/>
  <c r="C11" i="2" s="1"/>
</calcChain>
</file>

<file path=xl/sharedStrings.xml><?xml version="1.0" encoding="utf-8"?>
<sst xmlns="http://schemas.openxmlformats.org/spreadsheetml/2006/main" count="33" uniqueCount="27">
  <si>
    <t>Date:</t>
  </si>
  <si>
    <t>Request ID:</t>
  </si>
  <si>
    <t>100048832</t>
  </si>
  <si>
    <t>Hotplate</t>
  </si>
  <si>
    <t>Analyte(s)</t>
  </si>
  <si>
    <t>W</t>
  </si>
  <si>
    <t>SOP#</t>
  </si>
  <si>
    <t>Cocktail</t>
  </si>
  <si>
    <t>sample(s)</t>
  </si>
  <si>
    <t>weight (g)</t>
  </si>
  <si>
    <t>volume (mL)</t>
  </si>
  <si>
    <t>200128744_1</t>
  </si>
  <si>
    <t>200128744_2</t>
  </si>
  <si>
    <t>W ICP analysis</t>
  </si>
  <si>
    <t>sample</t>
  </si>
  <si>
    <t>Dilution</t>
  </si>
  <si>
    <t>conc. [mg/L]</t>
  </si>
  <si>
    <t>W_ppm</t>
  </si>
  <si>
    <t>%W</t>
  </si>
  <si>
    <t>w result:</t>
  </si>
  <si>
    <t>w lot:</t>
  </si>
  <si>
    <t>Note(s):</t>
  </si>
  <si>
    <t>ppm M+ = [conc.][volume][dilution]/[weight]</t>
  </si>
  <si>
    <t>%M+ = [conc.][volume][dilution]/([weight]*10,000)</t>
  </si>
  <si>
    <t>%MO = [oxide factor]*%M+</t>
  </si>
  <si>
    <t>75 mL HNO3, 20 mL HF, let cool then add H3BO3</t>
  </si>
  <si>
    <t>Manufacturer: Ricca, 4505R15 exp: 2026-11-30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</si>
</sst>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yyyy\-mm\-dd"/>
    <numFmt numFmtId="165" formatCode="0.0000"/>
    <numFmt numFmtId="166" formatCode="0.000"/>
    <numFmt numFmtId="167" formatCode="0.00&quot; ppm&quot;"/>
    <numFmt numFmtId="168" formatCode="0.00&quot; %&quot;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0" xfId="0" applyFont="1" applyAlignment="1">
      <alignment horizontal="right"/>
    </xf>
    <xf numFmtId="164" fontId="0" fillId="0" borderId="0" xfId="0" applyNumberFormat="1" applyAlignment="1">
      <alignment horizontal="left"/>
    </xf>
    <xf numFmtId="0" fontId="0" fillId="0" borderId="0" xfId="0" applyAlignment="1">
      <alignment horizontal="left"/>
    </xf>
    <xf numFmtId="0" fontId="1" fillId="0" borderId="1" xfId="0" applyFont="1" applyBorder="1"/>
    <xf numFmtId="0" fontId="0" fillId="0" borderId="1" xfId="0" applyBorder="1"/>
    <xf numFmtId="165" fontId="0" fillId="0" borderId="1" xfId="0" applyNumberFormat="1" applyBorder="1"/>
    <xf numFmtId="166" fontId="0" fillId="0" borderId="1" xfId="0" applyNumberFormat="1" applyBorder="1"/>
    <xf numFmtId="2" fontId="0" fillId="0" borderId="1" xfId="0" applyNumberFormat="1" applyBorder="1"/>
    <xf numFmtId="0" fontId="2" fillId="0" borderId="0" xfId="0" applyFont="1"/>
    <xf numFmtId="0" fontId="0" fillId="0" borderId="0" xfId="0" applyAlignment="1">
      <alignment horizontal="right"/>
    </xf>
    <xf numFmtId="167" fontId="0" fillId="0" borderId="0" xfId="0" applyNumberFormat="1" applyAlignment="1">
      <alignment horizontal="left"/>
    </xf>
    <xf numFmtId="0" fontId="4" fillId="0" borderId="0" xfId="0" applyFont="1"/>
    <xf numFmtId="168" fontId="0" fillId="2" borderId="0" xfId="0" applyNumberFormat="1" applyFill="1" applyAlignment="1">
      <alignment horizontal="left"/>
    </xf>
    <xf numFmtId="0" fontId="1" fillId="0" borderId="1" xfId="0" applyFont="1" applyBorder="1" applyAlignment="1">
      <alignment horizontal="center"/>
    </xf>
    <xf numFmtId="0" fontId="0" fillId="0" borderId="1" xfId="0" applyBorder="1"/>
    <xf numFmtId="0" fontId="0" fillId="0" borderId="1" xfId="0" applyBorder="1" applyAlignment="1">
      <alignment wrapText="1"/>
    </xf>
    <xf numFmtId="0" fontId="3" fillId="0" borderId="0" xfId="0" applyFont="1" applyAlignment="1">
      <alignment horizontal="left" vertical="top" wrapText="1"/>
    </xf>
    <xf numFmtId="0" fontId="0" fillId="0" borderId="0" xfId="0" applyAlignment="1">
      <alignment horizontal="left"/>
    </xf>
    <xf numFmtId="0" fontId="0" fillId="0" borderId="0" xfId="0" applyAlignment="1">
      <alignment horizontal="right"/>
    </xf>
    <xf numFmtId="0" fontId="0" fillId="2" borderId="0" xfId="0" applyFill="1" applyAlignment="1">
      <alignment horizontal="right"/>
    </xf>
    <xf numFmtId="0" fontId="3" fillId="0" borderId="0" xfId="0" applyFont="1"/>
  </cellXfs>
  <cellStyles count="1">
    <cellStyle name="Normal" xfId="0" builtinId="0"/>
  </cellStyles>
  <dxfs count="1">
    <dxf>
      <fill>
        <patternFill>
          <bgColor rgb="FFFFFFCC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1"/>
  <sheetViews>
    <sheetView workbookViewId="0">
      <selection activeCell="B8" sqref="B8:C8"/>
    </sheetView>
  </sheetViews>
  <sheetFormatPr defaultRowHeight="15" x14ac:dyDescent="0.25"/>
  <cols>
    <col min="1" max="1" width="12" bestFit="1" customWidth="1"/>
    <col min="2" max="2" width="10.7109375" bestFit="1" customWidth="1"/>
    <col min="3" max="3" width="12.140625" bestFit="1" customWidth="1"/>
  </cols>
  <sheetData>
    <row r="1" spans="1:3" x14ac:dyDescent="0.25">
      <c r="A1" s="1" t="s">
        <v>0</v>
      </c>
      <c r="B1" s="2">
        <v>46239</v>
      </c>
    </row>
    <row r="2" spans="1:3" x14ac:dyDescent="0.25">
      <c r="A2" s="1" t="s">
        <v>1</v>
      </c>
      <c r="B2" s="3" t="s">
        <v>2</v>
      </c>
    </row>
    <row r="5" spans="1:3" x14ac:dyDescent="0.25">
      <c r="A5" s="14" t="s">
        <v>3</v>
      </c>
      <c r="B5" s="14"/>
      <c r="C5" s="14"/>
    </row>
    <row r="6" spans="1:3" x14ac:dyDescent="0.25">
      <c r="A6" s="4" t="s">
        <v>4</v>
      </c>
      <c r="B6" s="15" t="s">
        <v>5</v>
      </c>
      <c r="C6" s="15"/>
    </row>
    <row r="7" spans="1:3" x14ac:dyDescent="0.25">
      <c r="A7" s="4" t="s">
        <v>6</v>
      </c>
      <c r="B7" s="15"/>
      <c r="C7" s="15"/>
    </row>
    <row r="8" spans="1:3" ht="29.25" customHeight="1" x14ac:dyDescent="0.25">
      <c r="A8" s="4" t="s">
        <v>7</v>
      </c>
      <c r="B8" s="16" t="s">
        <v>25</v>
      </c>
      <c r="C8" s="16"/>
    </row>
    <row r="9" spans="1:3" x14ac:dyDescent="0.25">
      <c r="A9" s="4" t="s">
        <v>8</v>
      </c>
      <c r="B9" s="4" t="s">
        <v>9</v>
      </c>
      <c r="C9" s="4" t="s">
        <v>10</v>
      </c>
    </row>
    <row r="10" spans="1:3" x14ac:dyDescent="0.25">
      <c r="A10" s="4" t="s">
        <v>11</v>
      </c>
      <c r="B10" s="6">
        <v>0.10580000000000001</v>
      </c>
      <c r="C10" s="5">
        <v>250</v>
      </c>
    </row>
    <row r="11" spans="1:3" x14ac:dyDescent="0.25">
      <c r="A11" s="4" t="s">
        <v>12</v>
      </c>
      <c r="B11" s="6">
        <v>0.1096</v>
      </c>
      <c r="C11" s="5">
        <v>250</v>
      </c>
    </row>
  </sheetData>
  <mergeCells count="4">
    <mergeCell ref="A5:C5"/>
    <mergeCell ref="B6:C6"/>
    <mergeCell ref="B7:C7"/>
    <mergeCell ref="B8:C8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16"/>
  <sheetViews>
    <sheetView tabSelected="1" workbookViewId="0">
      <selection activeCell="J8" sqref="J8"/>
    </sheetView>
  </sheetViews>
  <sheetFormatPr defaultRowHeight="15" x14ac:dyDescent="0.25"/>
  <cols>
    <col min="1" max="1" width="13.5703125" bestFit="1" customWidth="1"/>
    <col min="2" max="2" width="10.7109375" bestFit="1" customWidth="1"/>
    <col min="3" max="3" width="12.7109375" customWidth="1"/>
    <col min="4" max="4" width="7.85546875" bestFit="1" customWidth="1"/>
    <col min="5" max="5" width="7.7109375" customWidth="1"/>
    <col min="6" max="6" width="12.28515625" customWidth="1"/>
  </cols>
  <sheetData>
    <row r="1" spans="1:9" x14ac:dyDescent="0.25">
      <c r="A1" s="1" t="s">
        <v>0</v>
      </c>
      <c r="B1" s="2">
        <v>46239</v>
      </c>
    </row>
    <row r="2" spans="1:9" x14ac:dyDescent="0.25">
      <c r="A2" s="1" t="s">
        <v>1</v>
      </c>
      <c r="B2" s="3" t="s">
        <v>2</v>
      </c>
    </row>
    <row r="5" spans="1:9" x14ac:dyDescent="0.25">
      <c r="A5" s="18" t="s">
        <v>13</v>
      </c>
      <c r="B5" s="18"/>
    </row>
    <row r="6" spans="1:9" x14ac:dyDescent="0.25">
      <c r="A6" s="4" t="s">
        <v>14</v>
      </c>
      <c r="B6" s="4" t="s">
        <v>15</v>
      </c>
      <c r="C6" s="4" t="s">
        <v>16</v>
      </c>
      <c r="D6" s="4" t="s">
        <v>17</v>
      </c>
      <c r="E6" s="4" t="s">
        <v>18</v>
      </c>
    </row>
    <row r="7" spans="1:9" x14ac:dyDescent="0.25">
      <c r="A7" s="4" t="s">
        <v>11</v>
      </c>
      <c r="B7" s="5" t="str">
        <f>"25/1.5"</f>
        <v>25/1.5</v>
      </c>
      <c r="C7" s="7">
        <v>2.8519999999999999</v>
      </c>
      <c r="D7" s="8">
        <f>((C7)*(H7)*(I7))/(G7*1)</f>
        <v>112318.84057971014</v>
      </c>
      <c r="E7" s="8">
        <f>D7/10000</f>
        <v>11.231884057971014</v>
      </c>
      <c r="G7" s="9">
        <f>digestion_page!B10</f>
        <v>0.10580000000000001</v>
      </c>
      <c r="H7" s="9">
        <f>digestion_page!C10</f>
        <v>250</v>
      </c>
      <c r="I7" s="9">
        <f>(LEFT(B7,FIND("/",B7)-1)/RIGHT(B7,LEN(B7)-FIND("/", B7)))</f>
        <v>16.666666666666668</v>
      </c>
    </row>
    <row r="8" spans="1:9" x14ac:dyDescent="0.25">
      <c r="A8" s="4" t="s">
        <v>12</v>
      </c>
      <c r="B8" s="5" t="str">
        <f>"25/1.5"</f>
        <v>25/1.5</v>
      </c>
      <c r="C8" s="7">
        <v>2.79</v>
      </c>
      <c r="D8" s="8">
        <f>((C8)*(H8)*(I8))/(G8*1)</f>
        <v>106067.51824817518</v>
      </c>
      <c r="E8" s="8">
        <f>D8/10000</f>
        <v>10.606751824817518</v>
      </c>
      <c r="G8" s="9">
        <f>digestion_page!B11</f>
        <v>0.1096</v>
      </c>
      <c r="H8" s="9">
        <f>digestion_page!C11</f>
        <v>250</v>
      </c>
      <c r="I8" s="9">
        <f>(LEFT(B8,FIND("/",B8)-1)/RIGHT(B8,LEN(B8)-FIND("/", B8)))</f>
        <v>16.666666666666668</v>
      </c>
    </row>
    <row r="10" spans="1:9" x14ac:dyDescent="0.25">
      <c r="A10" s="19" t="s">
        <v>19</v>
      </c>
      <c r="B10" s="19"/>
      <c r="C10" s="11">
        <f>AVERAGE(D7:D8)</f>
        <v>109193.17941394266</v>
      </c>
    </row>
    <row r="11" spans="1:9" x14ac:dyDescent="0.25">
      <c r="A11" s="20" t="s">
        <v>19</v>
      </c>
      <c r="B11" s="20"/>
      <c r="C11" s="13">
        <f>AVERAGE(E7:E8)</f>
        <v>10.919317941394265</v>
      </c>
    </row>
    <row r="12" spans="1:9" x14ac:dyDescent="0.25">
      <c r="A12" s="19" t="s">
        <v>20</v>
      </c>
      <c r="B12" s="19"/>
      <c r="C12" s="21" t="s">
        <v>26</v>
      </c>
      <c r="D12" s="21"/>
      <c r="E12" s="21"/>
      <c r="F12" s="21"/>
    </row>
    <row r="14" spans="1:9" x14ac:dyDescent="0.25">
      <c r="B14" s="10" t="s">
        <v>21</v>
      </c>
      <c r="C14" s="17"/>
      <c r="D14" s="17"/>
      <c r="E14" s="17"/>
      <c r="F14" s="17"/>
    </row>
    <row r="15" spans="1:9" x14ac:dyDescent="0.25">
      <c r="C15" s="17"/>
      <c r="D15" s="17"/>
      <c r="E15" s="17"/>
      <c r="F15" s="17"/>
    </row>
    <row r="16" spans="1:9" x14ac:dyDescent="0.25">
      <c r="C16" s="17"/>
      <c r="D16" s="17"/>
      <c r="E16" s="17"/>
      <c r="F16" s="17"/>
    </row>
  </sheetData>
  <mergeCells count="6">
    <mergeCell ref="C14:F16"/>
    <mergeCell ref="A5:B5"/>
    <mergeCell ref="A10:B10"/>
    <mergeCell ref="A11:B11"/>
    <mergeCell ref="A12:B12"/>
    <mergeCell ref="C12:F12"/>
  </mergeCells>
  <conditionalFormatting sqref="C12:F12">
    <cfRule type="containsBlanks" dxfId="0" priority="1">
      <formula>LEN(TRIM(C12))=0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5"/>
  <sheetViews>
    <sheetView workbookViewId="0"/>
  </sheetViews>
  <sheetFormatPr defaultRowHeight="15" x14ac:dyDescent="0.25"/>
  <cols>
    <col min="1" max="1" width="46.140625" bestFit="1" customWidth="1"/>
  </cols>
  <sheetData>
    <row r="1" spans="1:1" x14ac:dyDescent="0.25">
      <c r="A1" s="12" t="s">
        <v>22</v>
      </c>
    </row>
    <row r="3" spans="1:1" x14ac:dyDescent="0.25">
      <c r="A3" s="12" t="s">
        <v>23</v>
      </c>
    </row>
    <row r="5" spans="1:1" x14ac:dyDescent="0.25">
      <c r="A5" s="12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digestion_page</vt:lpstr>
      <vt:lpstr>200128744</vt:lpstr>
      <vt:lpstr>formula_page</vt:lpstr>
    </vt:vector>
  </TitlesOfParts>
  <Company>Clariant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 Archemetre</dc:creator>
  <dc:description>Created with Python, XlsxWriter</dc:description>
  <cp:lastModifiedBy>Carl Archemetre</cp:lastModifiedBy>
  <dcterms:created xsi:type="dcterms:W3CDTF">2026-08-05T19:57:00Z</dcterms:created>
  <dcterms:modified xsi:type="dcterms:W3CDTF">2026-08-06T20:18:30Z</dcterms:modified>
</cp:coreProperties>
</file>