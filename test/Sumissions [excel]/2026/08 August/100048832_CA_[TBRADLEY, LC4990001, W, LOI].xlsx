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8 August/"/>
    </mc:Choice>
  </mc:AlternateContent>
  <xr:revisionPtr revIDLastSave="20" documentId="11_5907DE0D0D4E4146322ABD30D638B006BF56FA17" xr6:coauthVersionLast="47" xr6:coauthVersionMax="47" xr10:uidLastSave="{55AF416F-7347-472A-AA82-3B9C2ABB5C63}"/>
  <bookViews>
    <workbookView xWindow="28680" yWindow="-1830" windowWidth="29040" windowHeight="15720" activeTab="1" xr2:uid="{00000000-000D-0000-FFFF-FFFF00000000}"/>
  </bookViews>
  <sheets>
    <sheet name="digestion_page" sheetId="1" r:id="rId1"/>
    <sheet name="200128744" sheetId="2" r:id="rId2"/>
    <sheet name="formula_p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I12" i="2" s="1"/>
  <c r="B11" i="2"/>
  <c r="H12" i="2"/>
  <c r="G12" i="2"/>
  <c r="H11" i="2"/>
  <c r="G11" i="2"/>
  <c r="I11" i="2"/>
  <c r="E7" i="2"/>
  <c r="F7" i="2" s="1"/>
  <c r="D6" i="2"/>
  <c r="D11" i="2" l="1"/>
  <c r="E11" i="2" s="1"/>
  <c r="D12" i="2"/>
  <c r="E12" i="2" s="1"/>
  <c r="C15" i="2" l="1"/>
  <c r="C14" i="2"/>
</calcChain>
</file>

<file path=xl/sharedStrings.xml><?xml version="1.0" encoding="utf-8"?>
<sst xmlns="http://schemas.openxmlformats.org/spreadsheetml/2006/main" count="46" uniqueCount="40">
  <si>
    <t>Date:</t>
  </si>
  <si>
    <t>Request ID:</t>
  </si>
  <si>
    <t>100048832</t>
  </si>
  <si>
    <t>Hotplate</t>
  </si>
  <si>
    <t>Analyte(s)</t>
  </si>
  <si>
    <t>W</t>
  </si>
  <si>
    <t>SOP#</t>
  </si>
  <si>
    <t>Cocktail</t>
  </si>
  <si>
    <t>sample(s)</t>
  </si>
  <si>
    <t>weight (g)</t>
  </si>
  <si>
    <t>volume (mL)</t>
  </si>
  <si>
    <t>200128744_1</t>
  </si>
  <si>
    <t>200128744_2</t>
  </si>
  <si>
    <t>LOI temp:</t>
  </si>
  <si>
    <t>sample</t>
  </si>
  <si>
    <t>crucible (g)</t>
  </si>
  <si>
    <t>crucible + sample (g)</t>
  </si>
  <si>
    <t>LOI (%)</t>
  </si>
  <si>
    <t>correction</t>
  </si>
  <si>
    <t>200128744</t>
  </si>
  <si>
    <t>W ICP analysis</t>
  </si>
  <si>
    <t>Dilution</t>
  </si>
  <si>
    <t>conc. [mg/L]</t>
  </si>
  <si>
    <t>W_ppm [dried]</t>
  </si>
  <si>
    <t>%W [dried]</t>
  </si>
  <si>
    <t>w result:</t>
  </si>
  <si>
    <t>w lot:</t>
  </si>
  <si>
    <t>Note(s):</t>
  </si>
  <si>
    <t>ppm M+ = [conc.][volume][dilution]/[weight]</t>
  </si>
  <si>
    <t>%M+ = [conc.][volume][dilution]/([weight]*10,000)</t>
  </si>
  <si>
    <t>%MO = [oxide factor]*%M+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</si>
  <si>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</si>
  <si>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</si>
  <si>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</si>
  <si>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</si>
  <si>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</si>
  <si>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</si>
  <si>
    <t>%MO [dried] = %MO/([1-(%LOI)/100])</t>
  </si>
  <si>
    <t>75 mL HNO3, 20 mL HF, let cool then add H3BO3</t>
  </si>
  <si>
    <t>Manufacturer: Ricca, 4505R15 exp: 2026-11-30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</si>
</sst>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8" fontId="0" fillId="0" borderId="0" xfId="0" applyNumberFormat="1" applyAlignment="1">
      <alignment horizontal="left"/>
    </xf>
    <xf numFmtId="0" fontId="4" fillId="0" borderId="0" xfId="0" applyFont="1"/>
    <xf numFmtId="169" fontId="0" fillId="2" borderId="0" xfId="0" applyNumberFormat="1" applyFill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2"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6" sqref="C1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2">
        <v>46240</v>
      </c>
    </row>
    <row r="2" spans="1:3" x14ac:dyDescent="0.25">
      <c r="A2" s="1" t="s">
        <v>1</v>
      </c>
      <c r="B2" s="3" t="s">
        <v>2</v>
      </c>
    </row>
    <row r="5" spans="1:3" x14ac:dyDescent="0.25">
      <c r="A5" s="20" t="s">
        <v>3</v>
      </c>
      <c r="B5" s="20"/>
      <c r="C5" s="20"/>
    </row>
    <row r="6" spans="1:3" x14ac:dyDescent="0.25">
      <c r="A6" s="4" t="s">
        <v>4</v>
      </c>
      <c r="B6" s="21" t="s">
        <v>5</v>
      </c>
      <c r="C6" s="21"/>
    </row>
    <row r="7" spans="1:3" x14ac:dyDescent="0.25">
      <c r="A7" s="4" t="s">
        <v>6</v>
      </c>
      <c r="B7" s="21"/>
      <c r="C7" s="21"/>
    </row>
    <row r="8" spans="1:3" ht="30" customHeight="1" x14ac:dyDescent="0.25">
      <c r="A8" s="4" t="s">
        <v>7</v>
      </c>
      <c r="B8" s="22" t="s">
        <v>38</v>
      </c>
      <c r="C8" s="22"/>
    </row>
    <row r="9" spans="1:3" x14ac:dyDescent="0.25">
      <c r="A9" s="4" t="s">
        <v>8</v>
      </c>
      <c r="B9" s="4" t="s">
        <v>9</v>
      </c>
      <c r="C9" s="4" t="s">
        <v>10</v>
      </c>
    </row>
    <row r="10" spans="1:3" x14ac:dyDescent="0.25">
      <c r="A10" s="4" t="s">
        <v>11</v>
      </c>
      <c r="B10" s="6">
        <v>0.10580000000000001</v>
      </c>
      <c r="C10" s="5">
        <v>250</v>
      </c>
    </row>
    <row r="11" spans="1:3" x14ac:dyDescent="0.25">
      <c r="A11" s="4" t="s">
        <v>12</v>
      </c>
      <c r="B11" s="6">
        <v>0.1096</v>
      </c>
      <c r="C11" s="5">
        <v>250</v>
      </c>
    </row>
  </sheetData>
  <mergeCells count="4">
    <mergeCell ref="A5:C5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activeCell="B2" sqref="B2"/>
    </sheetView>
  </sheetViews>
  <sheetFormatPr defaultRowHeight="15" x14ac:dyDescent="0.25"/>
  <cols>
    <col min="1" max="1" width="12" bestFit="1" customWidth="1"/>
    <col min="2" max="2" width="10.85546875" bestFit="1" customWidth="1"/>
    <col min="3" max="3" width="19.140625" bestFit="1" customWidth="1"/>
    <col min="4" max="4" width="14.42578125" bestFit="1" customWidth="1"/>
    <col min="5" max="5" width="11" bestFit="1" customWidth="1"/>
    <col min="6" max="6" width="10" bestFit="1" customWidth="1"/>
    <col min="7" max="10" width="7.7109375" customWidth="1"/>
  </cols>
  <sheetData>
    <row r="1" spans="1:9" x14ac:dyDescent="0.25">
      <c r="A1" s="1" t="s">
        <v>0</v>
      </c>
      <c r="B1" s="2">
        <v>46240</v>
      </c>
    </row>
    <row r="2" spans="1:9" x14ac:dyDescent="0.25">
      <c r="A2" s="1" t="s">
        <v>1</v>
      </c>
      <c r="B2" s="3">
        <v>100048832</v>
      </c>
    </row>
    <row r="5" spans="1:9" x14ac:dyDescent="0.25">
      <c r="A5" s="7" t="s">
        <v>13</v>
      </c>
      <c r="B5" s="8">
        <v>900</v>
      </c>
    </row>
    <row r="6" spans="1:9" x14ac:dyDescent="0.25">
      <c r="A6" s="4" t="s">
        <v>14</v>
      </c>
      <c r="B6" s="4" t="s">
        <v>15</v>
      </c>
      <c r="C6" s="4" t="s">
        <v>16</v>
      </c>
      <c r="D6" s="4" t="str">
        <f>"after "&amp;B5&amp;" °C"</f>
        <v>after 900 °C</v>
      </c>
      <c r="E6" s="4" t="s">
        <v>17</v>
      </c>
      <c r="F6" s="4" t="s">
        <v>18</v>
      </c>
    </row>
    <row r="7" spans="1:9" x14ac:dyDescent="0.25">
      <c r="A7" s="4" t="s">
        <v>19</v>
      </c>
      <c r="B7" s="6">
        <v>19.0623</v>
      </c>
      <c r="C7" s="6">
        <v>20.930099999999999</v>
      </c>
      <c r="D7" s="6">
        <v>20.8523</v>
      </c>
      <c r="E7" s="9">
        <f>(((C7-B7)-(D7-B7))/(C7-B7))*100</f>
        <v>4.1653281935967401</v>
      </c>
      <c r="F7" s="6">
        <f>1-(E7/100)</f>
        <v>0.9583467180640326</v>
      </c>
    </row>
    <row r="9" spans="1:9" x14ac:dyDescent="0.25">
      <c r="A9" s="16" t="s">
        <v>20</v>
      </c>
      <c r="B9" s="16"/>
    </row>
    <row r="10" spans="1:9" x14ac:dyDescent="0.25">
      <c r="A10" s="4" t="s">
        <v>14</v>
      </c>
      <c r="B10" s="4" t="s">
        <v>21</v>
      </c>
      <c r="C10" s="4" t="s">
        <v>22</v>
      </c>
      <c r="D10" s="4" t="s">
        <v>23</v>
      </c>
      <c r="E10" s="4" t="s">
        <v>24</v>
      </c>
    </row>
    <row r="11" spans="1:9" x14ac:dyDescent="0.25">
      <c r="A11" s="4" t="s">
        <v>11</v>
      </c>
      <c r="B11" s="5" t="str">
        <f>"25/1.5"</f>
        <v>25/1.5</v>
      </c>
      <c r="C11" s="10">
        <v>2.8519999999999999</v>
      </c>
      <c r="D11" s="9">
        <f>((C11)*(H11)*(I11))/(G11*$F$7)</f>
        <v>117200.63152781152</v>
      </c>
      <c r="E11" s="9">
        <f>D11/10000</f>
        <v>11.720063152781153</v>
      </c>
      <c r="G11" s="11">
        <f>digestion_page!B10</f>
        <v>0.10580000000000001</v>
      </c>
      <c r="H11" s="11">
        <f>digestion_page!C10</f>
        <v>250</v>
      </c>
      <c r="I11" s="11">
        <f>(LEFT(B11,FIND("/",B11)-1)/RIGHT(B11,LEN(B11)-FIND("/", B11)))</f>
        <v>16.666666666666668</v>
      </c>
    </row>
    <row r="12" spans="1:9" x14ac:dyDescent="0.25">
      <c r="A12" s="4" t="s">
        <v>12</v>
      </c>
      <c r="B12" s="5" t="str">
        <f>"25/1.5"</f>
        <v>25/1.5</v>
      </c>
      <c r="C12" s="10">
        <v>2.79</v>
      </c>
      <c r="D12" s="9">
        <f>((C12)*(H12)*(I12))/(G12*$F$7)</f>
        <v>110677.60367817966</v>
      </c>
      <c r="E12" s="9">
        <f>D12/10000</f>
        <v>11.067760367817966</v>
      </c>
      <c r="G12" s="11">
        <f>digestion_page!B11</f>
        <v>0.1096</v>
      </c>
      <c r="H12" s="11">
        <f>digestion_page!C11</f>
        <v>250</v>
      </c>
      <c r="I12" s="11">
        <f>(LEFT(B12,FIND("/",B12)-1)/RIGHT(B12,LEN(B12)-FIND("/", B12)))</f>
        <v>16.666666666666668</v>
      </c>
    </row>
    <row r="14" spans="1:9" x14ac:dyDescent="0.25">
      <c r="A14" s="17" t="s">
        <v>25</v>
      </c>
      <c r="B14" s="17"/>
      <c r="C14" s="12">
        <f>AVERAGE(D11:D12)</f>
        <v>113939.1176029956</v>
      </c>
    </row>
    <row r="15" spans="1:9" x14ac:dyDescent="0.25">
      <c r="A15" s="18" t="s">
        <v>25</v>
      </c>
      <c r="B15" s="18"/>
      <c r="C15" s="14">
        <f>AVERAGE(E11:E12)</f>
        <v>11.393911760299559</v>
      </c>
    </row>
    <row r="16" spans="1:9" x14ac:dyDescent="0.25">
      <c r="A16" s="17" t="s">
        <v>26</v>
      </c>
      <c r="B16" s="17"/>
      <c r="C16" s="19" t="s">
        <v>39</v>
      </c>
      <c r="D16" s="19"/>
      <c r="E16" s="19"/>
      <c r="F16" s="19"/>
    </row>
    <row r="18" spans="2:6" x14ac:dyDescent="0.25">
      <c r="B18" s="7" t="s">
        <v>27</v>
      </c>
      <c r="C18" s="15"/>
      <c r="D18" s="15"/>
      <c r="E18" s="15"/>
      <c r="F18" s="15"/>
    </row>
    <row r="19" spans="2:6" x14ac:dyDescent="0.25">
      <c r="C19" s="15"/>
      <c r="D19" s="15"/>
      <c r="E19" s="15"/>
      <c r="F19" s="15"/>
    </row>
    <row r="20" spans="2:6" x14ac:dyDescent="0.25">
      <c r="C20" s="15"/>
      <c r="D20" s="15"/>
      <c r="E20" s="15"/>
      <c r="F20" s="15"/>
    </row>
  </sheetData>
  <mergeCells count="6">
    <mergeCell ref="C18:F20"/>
    <mergeCell ref="A9:B9"/>
    <mergeCell ref="A14:B14"/>
    <mergeCell ref="A15:B15"/>
    <mergeCell ref="A16:B16"/>
    <mergeCell ref="C16:F16"/>
  </mergeCells>
  <conditionalFormatting sqref="B5">
    <cfRule type="containsBlanks" dxfId="1" priority="1">
      <formula>LEN(TRIM(B5))=0</formula>
    </cfRule>
  </conditionalFormatting>
  <conditionalFormatting sqref="C16:F16">
    <cfRule type="containsBlanks" dxfId="0" priority="2">
      <formula>LEN(TRIM(C16))=0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3" t="s">
        <v>28</v>
      </c>
    </row>
    <row r="3" spans="1:1" x14ac:dyDescent="0.25">
      <c r="A3" s="13" t="s">
        <v>29</v>
      </c>
    </row>
    <row r="5" spans="1:1" x14ac:dyDescent="0.25">
      <c r="A5" s="13" t="s">
        <v>30</v>
      </c>
    </row>
    <row r="7" spans="1:1" x14ac:dyDescent="0.25">
      <c r="A7" s="13" t="s">
        <v>31</v>
      </c>
    </row>
    <row r="8" spans="1:1" x14ac:dyDescent="0.25">
      <c r="A8" s="13" t="s">
        <v>32</v>
      </c>
    </row>
    <row r="9" spans="1:1" x14ac:dyDescent="0.25">
      <c r="A9" s="13" t="s">
        <v>33</v>
      </c>
    </row>
    <row r="11" spans="1:1" x14ac:dyDescent="0.25">
      <c r="A11" s="13" t="s">
        <v>34</v>
      </c>
    </row>
    <row r="13" spans="1:1" x14ac:dyDescent="0.25">
      <c r="A13" s="13" t="s">
        <v>35</v>
      </c>
    </row>
    <row r="15" spans="1:1" x14ac:dyDescent="0.25">
      <c r="A15" s="13" t="s">
        <v>36</v>
      </c>
    </row>
    <row r="17" spans="1:1" x14ac:dyDescent="0.25">
      <c r="A17" s="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200128744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2026-08-06T17:46:06Z</dcterms:created>
  <dcterms:modified xsi:type="dcterms:W3CDTF">2026-08-06T20:18:21Z</dcterms:modified>
</cp:coreProperties>
</file>