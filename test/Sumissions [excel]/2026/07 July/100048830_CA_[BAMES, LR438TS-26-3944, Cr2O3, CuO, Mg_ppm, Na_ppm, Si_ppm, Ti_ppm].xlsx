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7 July/"/>
    </mc:Choice>
  </mc:AlternateContent>
  <xr:revisionPtr revIDLastSave="101" documentId="11_EA69FCE3490CA24A6A16C941D40479021914AF56" xr6:coauthVersionLast="47" xr6:coauthVersionMax="47" xr10:uidLastSave="{D1AFBBA6-774B-49A3-82D2-1628A916A68E}"/>
  <bookViews>
    <workbookView xWindow="-120" yWindow="-120" windowWidth="29040" windowHeight="15720" xr2:uid="{00000000-000D-0000-FFFF-FFFF00000000}"/>
  </bookViews>
  <sheets>
    <sheet name="digestion_page" sheetId="1" r:id="rId1"/>
    <sheet name="200128736" sheetId="2" r:id="rId2"/>
    <sheet name="200128737" sheetId="3" r:id="rId3"/>
    <sheet name="formula_page" sheetId="4" r:id="rId4"/>
  </sheets>
  <definedNames>
    <definedName name="_xlnm.Print_Area" localSheetId="1">'200128736'!$A$1:$F$69</definedName>
    <definedName name="_xlnm.Print_Area" localSheetId="2">'200128737'!$A$1:$F$69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B12" i="3"/>
  <c r="I12" i="3" s="1"/>
  <c r="B11" i="3"/>
  <c r="C12" i="2"/>
  <c r="C11" i="2"/>
  <c r="B12" i="2"/>
  <c r="B11" i="2"/>
  <c r="C43" i="3"/>
  <c r="C42" i="3"/>
  <c r="C43" i="2"/>
  <c r="C42" i="2"/>
  <c r="C61" i="3"/>
  <c r="C60" i="3"/>
  <c r="C61" i="2"/>
  <c r="C60" i="2"/>
  <c r="C34" i="3"/>
  <c r="C33" i="3"/>
  <c r="C34" i="2"/>
  <c r="C33" i="2"/>
  <c r="B43" i="2"/>
  <c r="B42" i="2"/>
  <c r="B43" i="3"/>
  <c r="I43" i="3" s="1"/>
  <c r="B42" i="3"/>
  <c r="I42" i="3" s="1"/>
  <c r="B61" i="3"/>
  <c r="B60" i="3"/>
  <c r="B34" i="3"/>
  <c r="B33" i="3"/>
  <c r="I33" i="3" s="1"/>
  <c r="B61" i="2"/>
  <c r="I61" i="2" s="1"/>
  <c r="B60" i="2"/>
  <c r="B34" i="2"/>
  <c r="B33" i="2"/>
  <c r="C52" i="3"/>
  <c r="C51" i="3"/>
  <c r="C23" i="3"/>
  <c r="C22" i="3"/>
  <c r="B23" i="3"/>
  <c r="I23" i="3" s="1"/>
  <c r="B22" i="3"/>
  <c r="I22" i="3" s="1"/>
  <c r="C52" i="2"/>
  <c r="C51" i="2"/>
  <c r="B52" i="2"/>
  <c r="B51" i="2"/>
  <c r="C23" i="2"/>
  <c r="C22" i="2"/>
  <c r="B23" i="2"/>
  <c r="I23" i="2" s="1"/>
  <c r="B22" i="2"/>
  <c r="H61" i="3"/>
  <c r="G61" i="3"/>
  <c r="I61" i="3"/>
  <c r="H60" i="3"/>
  <c r="G60" i="3"/>
  <c r="I60" i="3"/>
  <c r="H52" i="3"/>
  <c r="G52" i="3"/>
  <c r="B52" i="3"/>
  <c r="I52" i="3" s="1"/>
  <c r="H51" i="3"/>
  <c r="G51" i="3"/>
  <c r="B51" i="3"/>
  <c r="I51" i="3" s="1"/>
  <c r="H43" i="3"/>
  <c r="G43" i="3"/>
  <c r="H42" i="3"/>
  <c r="G42" i="3"/>
  <c r="I34" i="3"/>
  <c r="H34" i="3"/>
  <c r="G34" i="3"/>
  <c r="H33" i="3"/>
  <c r="G33" i="3"/>
  <c r="H23" i="3"/>
  <c r="G23" i="3"/>
  <c r="H22" i="3"/>
  <c r="G22" i="3"/>
  <c r="H12" i="3"/>
  <c r="G12" i="3"/>
  <c r="I11" i="3"/>
  <c r="H11" i="3"/>
  <c r="G11" i="3"/>
  <c r="E7" i="3"/>
  <c r="F7" i="3" s="1"/>
  <c r="D6" i="3"/>
  <c r="H61" i="2"/>
  <c r="G61" i="2"/>
  <c r="H60" i="2"/>
  <c r="G60" i="2"/>
  <c r="I60" i="2"/>
  <c r="H52" i="2"/>
  <c r="G52" i="2"/>
  <c r="I52" i="2"/>
  <c r="H51" i="2"/>
  <c r="G51" i="2"/>
  <c r="I51" i="2"/>
  <c r="H43" i="2"/>
  <c r="G43" i="2"/>
  <c r="I43" i="2"/>
  <c r="I42" i="2"/>
  <c r="H42" i="2"/>
  <c r="G42" i="2"/>
  <c r="H34" i="2"/>
  <c r="G34" i="2"/>
  <c r="I34" i="2"/>
  <c r="I33" i="2"/>
  <c r="H33" i="2"/>
  <c r="G33" i="2"/>
  <c r="H23" i="2"/>
  <c r="G23" i="2"/>
  <c r="H22" i="2"/>
  <c r="G22" i="2"/>
  <c r="I22" i="2"/>
  <c r="I12" i="2"/>
  <c r="H12" i="2"/>
  <c r="G12" i="2"/>
  <c r="H11" i="2"/>
  <c r="G11" i="2"/>
  <c r="I11" i="2"/>
  <c r="E7" i="2"/>
  <c r="F7" i="2" s="1"/>
  <c r="D6" i="2"/>
  <c r="D12" i="3" l="1"/>
  <c r="E12" i="3" s="1"/>
  <c r="D34" i="3"/>
  <c r="E34" i="3" s="1"/>
  <c r="D51" i="3"/>
  <c r="D22" i="3"/>
  <c r="E22" i="3" s="1"/>
  <c r="D42" i="3"/>
  <c r="E42" i="3" s="1"/>
  <c r="D11" i="2"/>
  <c r="E11" i="2" s="1"/>
  <c r="D23" i="2"/>
  <c r="E23" i="2" s="1"/>
  <c r="D43" i="2"/>
  <c r="E43" i="2" s="1"/>
  <c r="D52" i="3"/>
  <c r="E52" i="3" s="1"/>
  <c r="D33" i="2"/>
  <c r="D12" i="2"/>
  <c r="E12" i="2" s="1"/>
  <c r="D60" i="3"/>
  <c r="D51" i="2"/>
  <c r="D23" i="3"/>
  <c r="E23" i="3" s="1"/>
  <c r="D61" i="2"/>
  <c r="E61" i="2" s="1"/>
  <c r="D22" i="2"/>
  <c r="D61" i="3"/>
  <c r="E61" i="3" s="1"/>
  <c r="E51" i="3"/>
  <c r="D52" i="2"/>
  <c r="E52" i="2" s="1"/>
  <c r="D11" i="3"/>
  <c r="D33" i="3"/>
  <c r="D43" i="3"/>
  <c r="E43" i="3" s="1"/>
  <c r="D42" i="2"/>
  <c r="D34" i="2"/>
  <c r="E34" i="2" s="1"/>
  <c r="D60" i="2"/>
  <c r="C54" i="3" l="1"/>
  <c r="C25" i="3"/>
  <c r="C55" i="3"/>
  <c r="C45" i="3"/>
  <c r="C46" i="3"/>
  <c r="C14" i="2"/>
  <c r="E42" i="2"/>
  <c r="C46" i="2" s="1"/>
  <c r="C45" i="2"/>
  <c r="C36" i="3"/>
  <c r="E33" i="3"/>
  <c r="C37" i="3" s="1"/>
  <c r="E51" i="2"/>
  <c r="C55" i="2" s="1"/>
  <c r="C54" i="2"/>
  <c r="C25" i="2"/>
  <c r="E22" i="2"/>
  <c r="C28" i="3"/>
  <c r="C26" i="3"/>
  <c r="C63" i="2"/>
  <c r="E60" i="2"/>
  <c r="C64" i="2" s="1"/>
  <c r="C14" i="3"/>
  <c r="E11" i="3"/>
  <c r="C63" i="3"/>
  <c r="E60" i="3"/>
  <c r="C64" i="3" s="1"/>
  <c r="E33" i="2"/>
  <c r="C37" i="2" s="1"/>
  <c r="C36" i="2"/>
  <c r="C15" i="2"/>
  <c r="C17" i="2"/>
  <c r="C28" i="2" l="1"/>
  <c r="C26" i="2"/>
  <c r="C17" i="3"/>
  <c r="C15" i="3"/>
</calcChain>
</file>

<file path=xl/sharedStrings.xml><?xml version="1.0" encoding="utf-8"?>
<sst xmlns="http://schemas.openxmlformats.org/spreadsheetml/2006/main" count="212" uniqueCount="81">
  <si>
    <t>Date:</t>
  </si>
  <si>
    <t>Request ID:</t>
  </si>
  <si>
    <t>100048830</t>
  </si>
  <si>
    <t>Katanax</t>
  </si>
  <si>
    <t>Analyte(s)</t>
  </si>
  <si>
    <t>Cr, Cu, Mg, Si, Ti</t>
  </si>
  <si>
    <t>SOP#</t>
  </si>
  <si>
    <t>Acid Cocktail</t>
  </si>
  <si>
    <t>sample(s)</t>
  </si>
  <si>
    <t>weight (g)</t>
  </si>
  <si>
    <t>volume (mL)</t>
  </si>
  <si>
    <t>200128736_1</t>
  </si>
  <si>
    <t>200128736_2</t>
  </si>
  <si>
    <t>200128737_1</t>
  </si>
  <si>
    <t>200128737_2</t>
  </si>
  <si>
    <t>Hotplate</t>
  </si>
  <si>
    <t>Na</t>
  </si>
  <si>
    <t>Cocktail</t>
  </si>
  <si>
    <t>LOI temp:</t>
  </si>
  <si>
    <t>sample</t>
  </si>
  <si>
    <t>crucible (g)</t>
  </si>
  <si>
    <t>crucible + sample (g)</t>
  </si>
  <si>
    <t>LOI (%)</t>
  </si>
  <si>
    <t>correction</t>
  </si>
  <si>
    <t>200128736</t>
  </si>
  <si>
    <t>Cr ICP analysis</t>
  </si>
  <si>
    <t>Dilution</t>
  </si>
  <si>
    <t>conc. [mg/L]</t>
  </si>
  <si>
    <t>Cr_ppm [dried]</t>
  </si>
  <si>
    <t>%Cr [dried]</t>
  </si>
  <si>
    <t>cr result:</t>
  </si>
  <si>
    <t>cr oxide factor:</t>
  </si>
  <si>
    <t>cr oxide result:</t>
  </si>
  <si>
    <t>cr lot:</t>
  </si>
  <si>
    <t>Cu ICP analysis</t>
  </si>
  <si>
    <t>Cu_ppm [dried]</t>
  </si>
  <si>
    <t>%Cu [dried]</t>
  </si>
  <si>
    <t>cu result:</t>
  </si>
  <si>
    <t>cu oxide factor:</t>
  </si>
  <si>
    <t>cu oxide result:</t>
  </si>
  <si>
    <t>cu lot:</t>
  </si>
  <si>
    <t>Mg ICP analysis</t>
  </si>
  <si>
    <t>Mg_ppm [dried]</t>
  </si>
  <si>
    <t>%Mg [dried]</t>
  </si>
  <si>
    <t>mg result:</t>
  </si>
  <si>
    <t>mg lot:</t>
  </si>
  <si>
    <t>Na ICP analysis</t>
  </si>
  <si>
    <t>Na_ppm [dried]</t>
  </si>
  <si>
    <t>%Na [dried]</t>
  </si>
  <si>
    <t>na result:</t>
  </si>
  <si>
    <t>na lot:</t>
  </si>
  <si>
    <t>Si ICP analysis</t>
  </si>
  <si>
    <t>Si_ppm [dried]</t>
  </si>
  <si>
    <t>%Si [dried]</t>
  </si>
  <si>
    <t>si result:</t>
  </si>
  <si>
    <t>si lot:</t>
  </si>
  <si>
    <t>Ti ICP analysis</t>
  </si>
  <si>
    <t>Ti_ppm [dried]</t>
  </si>
  <si>
    <t>%Ti [dried]</t>
  </si>
  <si>
    <t>ti result:</t>
  </si>
  <si>
    <t>ti lot:</t>
  </si>
  <si>
    <t>Manufacturer: Ricca, 45120423 exp: 2027-05-31</t>
  </si>
  <si>
    <t>Manufacturer: Assurance, 28-83CUT exp: 2026-09-30</t>
  </si>
  <si>
    <t>Manufacturer: Assurance, 27-159NAY exp: 2026-08-30</t>
  </si>
  <si>
    <t>Manufacturer: Assurance, 28-87SIX exp: 2026-08-30</t>
  </si>
  <si>
    <t>Manufacturer: Assurance, 27-189TIT exp: 2026-08-30</t>
  </si>
  <si>
    <t>Note(s):</t>
  </si>
  <si>
    <t>200128737</t>
  </si>
  <si>
    <t>ppm M+ = [conc.][volume][dilution]/[weight]</t>
  </si>
  <si>
    <t>%M+ = [conc.][volume][dilution]/([weight]*10,000)</t>
  </si>
  <si>
    <t>%MO = [oxide factor]*%M+</t>
  </si>
  <si>
    <t>A = crucible</t>
  </si>
  <si>
    <t>B = crucible + sample</t>
  </si>
  <si>
    <t>C = crucible + sample after drying</t>
  </si>
  <si>
    <t>%LOI = ([B-A]-[C-A])/(B-A)*100%</t>
  </si>
  <si>
    <t>ppm M+  [dried] = ppm M+/([1-(%LOI)/100])</t>
  </si>
  <si>
    <t>%M+  [dried] = %M+/([1-(%LOI)/100])</t>
  </si>
  <si>
    <t>%MO [dried] = %MO/([1-(%LOI)/100])</t>
  </si>
  <si>
    <t>50 mL 1:1 HCl</t>
  </si>
  <si>
    <t>30 mL conc. HCl</t>
  </si>
  <si>
    <t>Manufacturer: Assurance, 28-136MGY exp: 2027-01-30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</si>
</sst>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######&quot; °C&quot;"/>
    <numFmt numFmtId="167" formatCode="0.000"/>
    <numFmt numFmtId="168" formatCode="0.00&quot; ppm&quot;"/>
    <numFmt numFmtId="169" formatCode="0.00&quot; %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69" fontId="0" fillId="2" borderId="0" xfId="0" applyNumberFormat="1" applyFill="1" applyAlignment="1">
      <alignment horizontal="left"/>
    </xf>
    <xf numFmtId="168" fontId="0" fillId="2" borderId="0" xfId="0" applyNumberFormat="1" applyFill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4"/>
  <sheetViews>
    <sheetView tabSelected="1" workbookViewId="0">
      <selection activeCell="J28" sqref="J28"/>
    </sheetView>
  </sheetViews>
  <sheetFormatPr defaultRowHeight="15" x14ac:dyDescent="0.25"/>
  <cols>
    <col min="1" max="1" width="12.7109375" customWidth="1"/>
    <col min="2" max="2" width="15" bestFit="1" customWidth="1"/>
    <col min="3" max="3" width="12.140625" bestFit="1" customWidth="1"/>
  </cols>
  <sheetData>
    <row r="1" spans="1:3" x14ac:dyDescent="0.25">
      <c r="A1" s="1" t="s">
        <v>0</v>
      </c>
      <c r="B1" s="2">
        <v>46233</v>
      </c>
    </row>
    <row r="2" spans="1:3" x14ac:dyDescent="0.25">
      <c r="A2" s="1" t="s">
        <v>1</v>
      </c>
      <c r="B2" s="3" t="s">
        <v>2</v>
      </c>
    </row>
    <row r="5" spans="1:3" x14ac:dyDescent="0.25">
      <c r="A5" s="25" t="s">
        <v>3</v>
      </c>
      <c r="B5" s="25"/>
      <c r="C5" s="25"/>
    </row>
    <row r="6" spans="1:3" x14ac:dyDescent="0.25">
      <c r="A6" s="4" t="s">
        <v>4</v>
      </c>
      <c r="B6" s="24" t="s">
        <v>5</v>
      </c>
      <c r="C6" s="24"/>
    </row>
    <row r="7" spans="1:3" x14ac:dyDescent="0.25">
      <c r="A7" s="4" t="s">
        <v>6</v>
      </c>
      <c r="B7" s="24"/>
      <c r="C7" s="24"/>
    </row>
    <row r="8" spans="1:3" x14ac:dyDescent="0.25">
      <c r="A8" s="4" t="s">
        <v>7</v>
      </c>
      <c r="B8" s="24" t="s">
        <v>79</v>
      </c>
      <c r="C8" s="24"/>
    </row>
    <row r="9" spans="1:3" x14ac:dyDescent="0.25">
      <c r="A9" s="4" t="s">
        <v>8</v>
      </c>
      <c r="B9" s="4" t="s">
        <v>9</v>
      </c>
      <c r="C9" s="4" t="s">
        <v>10</v>
      </c>
    </row>
    <row r="10" spans="1:3" x14ac:dyDescent="0.25">
      <c r="A10" s="4" t="s">
        <v>11</v>
      </c>
      <c r="B10" s="6">
        <v>0.30969999999999998</v>
      </c>
      <c r="C10" s="5">
        <v>250</v>
      </c>
    </row>
    <row r="11" spans="1:3" x14ac:dyDescent="0.25">
      <c r="A11" s="4" t="s">
        <v>12</v>
      </c>
      <c r="B11" s="6">
        <v>0.30590000000000001</v>
      </c>
      <c r="C11" s="5">
        <v>250</v>
      </c>
    </row>
    <row r="12" spans="1:3" x14ac:dyDescent="0.25">
      <c r="A12" s="4" t="s">
        <v>13</v>
      </c>
      <c r="B12" s="6">
        <v>0.30570000000000003</v>
      </c>
      <c r="C12" s="5">
        <v>250</v>
      </c>
    </row>
    <row r="13" spans="1:3" x14ac:dyDescent="0.25">
      <c r="A13" s="4" t="s">
        <v>14</v>
      </c>
      <c r="B13" s="6">
        <v>0.30230000000000001</v>
      </c>
      <c r="C13" s="5">
        <v>250</v>
      </c>
    </row>
    <row r="16" spans="1:3" x14ac:dyDescent="0.25">
      <c r="A16" s="25" t="s">
        <v>15</v>
      </c>
      <c r="B16" s="25"/>
      <c r="C16" s="25"/>
    </row>
    <row r="17" spans="1:3" x14ac:dyDescent="0.25">
      <c r="A17" s="4" t="s">
        <v>4</v>
      </c>
      <c r="B17" s="24" t="s">
        <v>16</v>
      </c>
      <c r="C17" s="24"/>
    </row>
    <row r="18" spans="1:3" x14ac:dyDescent="0.25">
      <c r="A18" s="4" t="s">
        <v>6</v>
      </c>
      <c r="B18" s="24"/>
      <c r="C18" s="24"/>
    </row>
    <row r="19" spans="1:3" x14ac:dyDescent="0.25">
      <c r="A19" s="4" t="s">
        <v>17</v>
      </c>
      <c r="B19" s="24" t="s">
        <v>78</v>
      </c>
      <c r="C19" s="24"/>
    </row>
    <row r="20" spans="1:3" x14ac:dyDescent="0.25">
      <c r="A20" s="4" t="s">
        <v>8</v>
      </c>
      <c r="B20" s="4" t="s">
        <v>9</v>
      </c>
      <c r="C20" s="4" t="s">
        <v>10</v>
      </c>
    </row>
    <row r="21" spans="1:3" x14ac:dyDescent="0.25">
      <c r="A21" s="4" t="s">
        <v>11</v>
      </c>
      <c r="B21" s="6">
        <v>0.50619999999999998</v>
      </c>
      <c r="C21" s="5">
        <v>50</v>
      </c>
    </row>
    <row r="22" spans="1:3" x14ac:dyDescent="0.25">
      <c r="A22" s="4" t="s">
        <v>12</v>
      </c>
      <c r="B22" s="6">
        <v>0.50429999999999997</v>
      </c>
      <c r="C22" s="5">
        <v>50</v>
      </c>
    </row>
    <row r="23" spans="1:3" x14ac:dyDescent="0.25">
      <c r="A23" s="4" t="s">
        <v>13</v>
      </c>
      <c r="B23" s="6">
        <v>0.50919999999999999</v>
      </c>
      <c r="C23" s="5">
        <v>50</v>
      </c>
    </row>
    <row r="24" spans="1:3" x14ac:dyDescent="0.25">
      <c r="A24" s="4" t="s">
        <v>14</v>
      </c>
      <c r="B24" s="6">
        <v>0.50529999999999997</v>
      </c>
      <c r="C24" s="5">
        <v>50</v>
      </c>
    </row>
  </sheetData>
  <mergeCells count="8">
    <mergeCell ref="B17:C17"/>
    <mergeCell ref="B18:C18"/>
    <mergeCell ref="B19:C19"/>
    <mergeCell ref="A5:C5"/>
    <mergeCell ref="B6:C6"/>
    <mergeCell ref="B7:C7"/>
    <mergeCell ref="B8:C8"/>
    <mergeCell ref="A16:C16"/>
  </mergeCells>
  <pageMargins left="0.7" right="0.7" top="0.75" bottom="0.75" header="0.3" footer="0.3"/>
  <pageSetup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9"/>
  <sheetViews>
    <sheetView tabSelected="1" zoomScaleNormal="100" workbookViewId="0">
      <selection activeCell="J28" sqref="J28"/>
    </sheetView>
  </sheetViews>
  <sheetFormatPr defaultRowHeight="15" x14ac:dyDescent="0.25"/>
  <cols>
    <col min="1" max="1" width="12" bestFit="1" customWidth="1"/>
    <col min="2" max="2" width="10.85546875" bestFit="1" customWidth="1"/>
    <col min="3" max="3" width="19.140625" bestFit="1" customWidth="1"/>
    <col min="4" max="4" width="15.28515625" bestFit="1" customWidth="1"/>
    <col min="5" max="5" width="11.85546875" bestFit="1" customWidth="1"/>
    <col min="6" max="6" width="10" bestFit="1" customWidth="1"/>
    <col min="7" max="59" width="7.7109375" customWidth="1"/>
  </cols>
  <sheetData>
    <row r="1" spans="1:9" x14ac:dyDescent="0.25">
      <c r="A1" s="1" t="s">
        <v>0</v>
      </c>
      <c r="B1" s="2">
        <v>46233</v>
      </c>
    </row>
    <row r="2" spans="1:9" x14ac:dyDescent="0.25">
      <c r="A2" s="1" t="s">
        <v>1</v>
      </c>
      <c r="B2" s="3">
        <v>100048830</v>
      </c>
    </row>
    <row r="5" spans="1:9" x14ac:dyDescent="0.25">
      <c r="A5" s="7" t="s">
        <v>18</v>
      </c>
      <c r="B5" s="8">
        <v>900</v>
      </c>
    </row>
    <row r="6" spans="1:9" x14ac:dyDescent="0.25">
      <c r="A6" s="4" t="s">
        <v>19</v>
      </c>
      <c r="B6" s="4" t="s">
        <v>20</v>
      </c>
      <c r="C6" s="4" t="s">
        <v>21</v>
      </c>
      <c r="D6" s="4" t="str">
        <f>"after "&amp;B5&amp;" °C"</f>
        <v>after 900 °C</v>
      </c>
      <c r="E6" s="4" t="s">
        <v>22</v>
      </c>
      <c r="F6" s="4" t="s">
        <v>23</v>
      </c>
    </row>
    <row r="7" spans="1:9" x14ac:dyDescent="0.25">
      <c r="A7" s="4" t="s">
        <v>24</v>
      </c>
      <c r="B7" s="6">
        <v>16.603000000000002</v>
      </c>
      <c r="C7" s="6">
        <v>18.6492</v>
      </c>
      <c r="D7" s="6">
        <v>18.5184</v>
      </c>
      <c r="E7" s="9">
        <f>(((C7-B7)-(D7-B7))/(C7-B7))*100</f>
        <v>6.3923370149545873</v>
      </c>
      <c r="F7" s="6">
        <f>1-(E7/100)</f>
        <v>0.93607662985045414</v>
      </c>
    </row>
    <row r="9" spans="1:9" x14ac:dyDescent="0.25">
      <c r="A9" s="23" t="s">
        <v>25</v>
      </c>
      <c r="B9" s="23"/>
    </row>
    <row r="10" spans="1:9" x14ac:dyDescent="0.25">
      <c r="A10" s="4" t="s">
        <v>19</v>
      </c>
      <c r="B10" s="4" t="s">
        <v>26</v>
      </c>
      <c r="C10" s="4" t="s">
        <v>27</v>
      </c>
      <c r="D10" s="4" t="s">
        <v>28</v>
      </c>
      <c r="E10" s="4" t="s">
        <v>29</v>
      </c>
    </row>
    <row r="11" spans="1:9" x14ac:dyDescent="0.25">
      <c r="A11" s="4" t="s">
        <v>11</v>
      </c>
      <c r="B11" s="5" t="str">
        <f>"25/1"</f>
        <v>25/1</v>
      </c>
      <c r="C11" s="10">
        <f>AVERAGE(2.411,2.339,2.37)</f>
        <v>2.3733333333333335</v>
      </c>
      <c r="D11" s="9">
        <f>((C11)*(H11)*(I11))/(G11*$F$7)</f>
        <v>51166.551567647766</v>
      </c>
      <c r="E11" s="9">
        <f>D11/10000</f>
        <v>5.1166551567647769</v>
      </c>
      <c r="G11" s="11">
        <f>digestion_page!B10</f>
        <v>0.30969999999999998</v>
      </c>
      <c r="H11" s="11">
        <f>digestion_page!C10</f>
        <v>250</v>
      </c>
      <c r="I11" s="11">
        <f>(LEFT(B11,FIND("/",B11)-1)/RIGHT(B11,LEN(B11)-FIND("/", B11)))</f>
        <v>25</v>
      </c>
    </row>
    <row r="12" spans="1:9" x14ac:dyDescent="0.25">
      <c r="A12" s="4" t="s">
        <v>12</v>
      </c>
      <c r="B12" s="5" t="str">
        <f>"25/1"</f>
        <v>25/1</v>
      </c>
      <c r="C12" s="10">
        <f>AVERAGE(2.298,2.301,2.367)</f>
        <v>2.3220000000000001</v>
      </c>
      <c r="D12" s="9">
        <f>((C12)*(H12)*(I12))/(G12*$F$7)</f>
        <v>50681.720906813265</v>
      </c>
      <c r="E12" s="9">
        <f>D12/10000</f>
        <v>5.0681720906813261</v>
      </c>
      <c r="G12" s="11">
        <f>digestion_page!B11</f>
        <v>0.30590000000000001</v>
      </c>
      <c r="H12" s="11">
        <f>digestion_page!C11</f>
        <v>250</v>
      </c>
      <c r="I12" s="11">
        <f>(LEFT(B12,FIND("/",B12)-1)/RIGHT(B12,LEN(B12)-FIND("/", B12)))</f>
        <v>25</v>
      </c>
    </row>
    <row r="14" spans="1:9" x14ac:dyDescent="0.25">
      <c r="A14" s="20" t="s">
        <v>30</v>
      </c>
      <c r="B14" s="20"/>
      <c r="C14" s="12">
        <f>AVERAGE(D11:D12)</f>
        <v>50924.136237230516</v>
      </c>
    </row>
    <row r="15" spans="1:9" x14ac:dyDescent="0.25">
      <c r="A15" s="20" t="s">
        <v>30</v>
      </c>
      <c r="B15" s="20"/>
      <c r="C15" s="13">
        <f>AVERAGE(E11:E12)</f>
        <v>5.0924136237230515</v>
      </c>
    </row>
    <row r="16" spans="1:9" x14ac:dyDescent="0.25">
      <c r="A16" s="20" t="s">
        <v>31</v>
      </c>
      <c r="B16" s="20"/>
      <c r="C16" s="3">
        <v>1.462</v>
      </c>
    </row>
    <row r="17" spans="1:12" x14ac:dyDescent="0.25">
      <c r="A17" s="19" t="s">
        <v>32</v>
      </c>
      <c r="B17" s="19"/>
      <c r="C17" s="17">
        <f>AVERAGE(E11:E12)*(C16)</f>
        <v>7.4451087178831008</v>
      </c>
    </row>
    <row r="18" spans="1:12" x14ac:dyDescent="0.25">
      <c r="A18" s="20" t="s">
        <v>33</v>
      </c>
      <c r="B18" s="20"/>
      <c r="C18" s="21" t="s">
        <v>61</v>
      </c>
      <c r="D18" s="21"/>
      <c r="E18" s="21"/>
      <c r="F18" s="21"/>
    </row>
    <row r="20" spans="1:12" x14ac:dyDescent="0.25">
      <c r="A20" s="23" t="s">
        <v>34</v>
      </c>
      <c r="B20" s="23"/>
    </row>
    <row r="21" spans="1:12" x14ac:dyDescent="0.25">
      <c r="A21" s="4" t="s">
        <v>19</v>
      </c>
      <c r="B21" s="4" t="s">
        <v>26</v>
      </c>
      <c r="C21" s="4" t="s">
        <v>27</v>
      </c>
      <c r="D21" s="4" t="s">
        <v>35</v>
      </c>
      <c r="E21" s="4" t="s">
        <v>36</v>
      </c>
      <c r="G21" s="15"/>
      <c r="H21" s="15"/>
      <c r="I21" s="15"/>
      <c r="J21" s="15"/>
      <c r="K21" s="15"/>
      <c r="L21" s="15"/>
    </row>
    <row r="22" spans="1:12" x14ac:dyDescent="0.25">
      <c r="A22" s="4" t="s">
        <v>11</v>
      </c>
      <c r="B22" s="5" t="str">
        <f>"50/6"</f>
        <v>50/6</v>
      </c>
      <c r="C22" s="10">
        <f>AVERAGE(1.912,1.855,1.89,1.888)</f>
        <v>1.88625</v>
      </c>
      <c r="D22" s="9">
        <f>((C22)*(H22)*(I22))/(G22*$F$7)</f>
        <v>13555.183693044328</v>
      </c>
      <c r="E22" s="9">
        <f>D22/10000</f>
        <v>1.3555183693044328</v>
      </c>
      <c r="G22" s="16">
        <f>digestion_page!B10</f>
        <v>0.30969999999999998</v>
      </c>
      <c r="H22" s="16">
        <f>digestion_page!C10</f>
        <v>250</v>
      </c>
      <c r="I22" s="16">
        <f>(LEFT(B22,FIND("/",B22)-1)/RIGHT(B22,LEN(B22)-FIND("/", B22)))</f>
        <v>8.3333333333333339</v>
      </c>
      <c r="J22" s="15"/>
      <c r="K22" s="15"/>
      <c r="L22" s="15"/>
    </row>
    <row r="23" spans="1:12" x14ac:dyDescent="0.25">
      <c r="A23" s="4" t="s">
        <v>12</v>
      </c>
      <c r="B23" s="5" t="str">
        <f>"50/6"</f>
        <v>50/6</v>
      </c>
      <c r="C23" s="10">
        <f>AVERAGE(1.882,1.836,1.853,1.854)</f>
        <v>1.85625</v>
      </c>
      <c r="D23" s="9">
        <f>((C23)*(H23)*(I23))/(G23*$F$7)</f>
        <v>13505.303536214777</v>
      </c>
      <c r="E23" s="9">
        <f>D23/10000</f>
        <v>1.3505303536214777</v>
      </c>
      <c r="G23" s="16">
        <f>digestion_page!B11</f>
        <v>0.30590000000000001</v>
      </c>
      <c r="H23" s="16">
        <f>digestion_page!C11</f>
        <v>250</v>
      </c>
      <c r="I23" s="16">
        <f>(LEFT(B23,FIND("/",B23)-1)/RIGHT(B23,LEN(B23)-FIND("/", B23)))</f>
        <v>8.3333333333333339</v>
      </c>
      <c r="J23" s="15"/>
      <c r="K23" s="15"/>
      <c r="L23" s="15"/>
    </row>
    <row r="25" spans="1:12" x14ac:dyDescent="0.25">
      <c r="A25" s="20" t="s">
        <v>37</v>
      </c>
      <c r="B25" s="20"/>
      <c r="C25" s="12">
        <f>AVERAGE(D22:D23)</f>
        <v>13530.243614629551</v>
      </c>
    </row>
    <row r="26" spans="1:12" x14ac:dyDescent="0.25">
      <c r="A26" s="20" t="s">
        <v>37</v>
      </c>
      <c r="B26" s="20"/>
      <c r="C26" s="13">
        <f>AVERAGE(E22:E23)</f>
        <v>1.3530243614629551</v>
      </c>
    </row>
    <row r="27" spans="1:12" x14ac:dyDescent="0.25">
      <c r="A27" s="20" t="s">
        <v>38</v>
      </c>
      <c r="B27" s="20"/>
      <c r="C27" s="3">
        <v>1.252</v>
      </c>
    </row>
    <row r="28" spans="1:12" x14ac:dyDescent="0.25">
      <c r="A28" s="19" t="s">
        <v>39</v>
      </c>
      <c r="B28" s="19"/>
      <c r="C28" s="17">
        <f>AVERAGE(E22:E23)*(C27)</f>
        <v>1.6939865005516199</v>
      </c>
    </row>
    <row r="29" spans="1:12" x14ac:dyDescent="0.25">
      <c r="A29" s="20" t="s">
        <v>40</v>
      </c>
      <c r="B29" s="20"/>
      <c r="C29" s="21" t="s">
        <v>62</v>
      </c>
      <c r="D29" s="21"/>
      <c r="E29" s="21"/>
      <c r="F29" s="21"/>
    </row>
    <row r="31" spans="1:12" x14ac:dyDescent="0.25">
      <c r="A31" s="23" t="s">
        <v>41</v>
      </c>
      <c r="B31" s="23"/>
    </row>
    <row r="32" spans="1:12" x14ac:dyDescent="0.25">
      <c r="A32" s="4" t="s">
        <v>19</v>
      </c>
      <c r="B32" s="4" t="s">
        <v>26</v>
      </c>
      <c r="C32" s="4" t="s">
        <v>27</v>
      </c>
      <c r="D32" s="4" t="s">
        <v>42</v>
      </c>
      <c r="E32" s="4" t="s">
        <v>43</v>
      </c>
    </row>
    <row r="33" spans="1:9" x14ac:dyDescent="0.25">
      <c r="A33" s="4" t="s">
        <v>11</v>
      </c>
      <c r="B33" s="5" t="str">
        <f>"10/9"</f>
        <v>10/9</v>
      </c>
      <c r="C33" s="10">
        <f>AVERAGE(0.216,0.214,0.214)</f>
        <v>0.21466666666666667</v>
      </c>
      <c r="D33" s="9">
        <f>((C33)*(H33)*(I33))/(G33*$F$7)</f>
        <v>205.68825973511341</v>
      </c>
      <c r="E33" s="9">
        <f>D33/10000</f>
        <v>2.056882597351134E-2</v>
      </c>
      <c r="G33" s="11">
        <f>digestion_page!B10</f>
        <v>0.30969999999999998</v>
      </c>
      <c r="H33" s="11">
        <f>digestion_page!C10</f>
        <v>250</v>
      </c>
      <c r="I33" s="11">
        <f>(LEFT(B33,FIND("/",B33)-1)/RIGHT(B33,LEN(B33)-FIND("/", B33)))</f>
        <v>1.1111111111111112</v>
      </c>
    </row>
    <row r="34" spans="1:9" x14ac:dyDescent="0.25">
      <c r="A34" s="4" t="s">
        <v>12</v>
      </c>
      <c r="B34" s="5" t="str">
        <f>"10/9"</f>
        <v>10/9</v>
      </c>
      <c r="C34" s="10">
        <f>AVERAGE(0.216,0.214,0.214)</f>
        <v>0.21466666666666667</v>
      </c>
      <c r="D34" s="9">
        <f>((C34)*(H34)*(I34))/(G34*$F$7)</f>
        <v>208.24339339641912</v>
      </c>
      <c r="E34" s="9">
        <f>D34/10000</f>
        <v>2.0824339339641913E-2</v>
      </c>
      <c r="G34" s="11">
        <f>digestion_page!B11</f>
        <v>0.30590000000000001</v>
      </c>
      <c r="H34" s="11">
        <f>digestion_page!C11</f>
        <v>250</v>
      </c>
      <c r="I34" s="11">
        <f>(LEFT(B34,FIND("/",B34)-1)/RIGHT(B34,LEN(B34)-FIND("/", B34)))</f>
        <v>1.1111111111111112</v>
      </c>
    </row>
    <row r="36" spans="1:9" x14ac:dyDescent="0.25">
      <c r="A36" s="19" t="s">
        <v>44</v>
      </c>
      <c r="B36" s="19"/>
      <c r="C36" s="18">
        <f>AVERAGE(D33:D34)</f>
        <v>206.96582656576626</v>
      </c>
    </row>
    <row r="37" spans="1:9" x14ac:dyDescent="0.25">
      <c r="A37" s="20" t="s">
        <v>44</v>
      </c>
      <c r="B37" s="20"/>
      <c r="C37" s="13">
        <f>AVERAGE(E33:E34)</f>
        <v>2.0696582656576624E-2</v>
      </c>
    </row>
    <row r="38" spans="1:9" x14ac:dyDescent="0.25">
      <c r="A38" s="20" t="s">
        <v>45</v>
      </c>
      <c r="B38" s="20"/>
      <c r="C38" s="21" t="s">
        <v>80</v>
      </c>
      <c r="D38" s="21"/>
      <c r="E38" s="21"/>
      <c r="F38" s="21"/>
    </row>
    <row r="40" spans="1:9" x14ac:dyDescent="0.25">
      <c r="A40" s="23" t="s">
        <v>46</v>
      </c>
      <c r="B40" s="23"/>
    </row>
    <row r="41" spans="1:9" x14ac:dyDescent="0.25">
      <c r="A41" s="4" t="s">
        <v>19</v>
      </c>
      <c r="B41" s="4" t="s">
        <v>26</v>
      </c>
      <c r="C41" s="4" t="s">
        <v>27</v>
      </c>
      <c r="D41" s="4" t="s">
        <v>47</v>
      </c>
      <c r="E41" s="4" t="s">
        <v>48</v>
      </c>
    </row>
    <row r="42" spans="1:9" x14ac:dyDescent="0.25">
      <c r="A42" s="4" t="s">
        <v>11</v>
      </c>
      <c r="B42" s="5" t="str">
        <f>"25/1"</f>
        <v>25/1</v>
      </c>
      <c r="C42" s="10">
        <f>AVERAGE(0.851,0.877)</f>
        <v>0.86399999999999999</v>
      </c>
      <c r="D42" s="9">
        <f>((C42)*(H42)*(I42))/(G42*$F$7)</f>
        <v>2279.2408075336239</v>
      </c>
      <c r="E42" s="9">
        <f>D42/10000</f>
        <v>0.22792408075336237</v>
      </c>
      <c r="G42" s="11">
        <f>digestion_page!B21</f>
        <v>0.50619999999999998</v>
      </c>
      <c r="H42" s="11">
        <f>digestion_page!C21</f>
        <v>50</v>
      </c>
      <c r="I42" s="11">
        <f>(LEFT(B42,FIND("/",B42)-1)/RIGHT(B42,LEN(B42)-FIND("/", B42)))</f>
        <v>25</v>
      </c>
    </row>
    <row r="43" spans="1:9" x14ac:dyDescent="0.25">
      <c r="A43" s="4" t="s">
        <v>12</v>
      </c>
      <c r="B43" s="5" t="str">
        <f>"25/1"</f>
        <v>25/1</v>
      </c>
      <c r="C43" s="10">
        <f>AVERAGE(0.875,0.879)</f>
        <v>0.877</v>
      </c>
      <c r="D43" s="9">
        <f>((C43)*(H43)*(I43))/(G43*$F$7)</f>
        <v>2322.2514111749542</v>
      </c>
      <c r="E43" s="9">
        <f>D43/10000</f>
        <v>0.23222514111749543</v>
      </c>
      <c r="G43" s="11">
        <f>digestion_page!B22</f>
        <v>0.50429999999999997</v>
      </c>
      <c r="H43" s="11">
        <f>digestion_page!C22</f>
        <v>50</v>
      </c>
      <c r="I43" s="11">
        <f>(LEFT(B43,FIND("/",B43)-1)/RIGHT(B43,LEN(B43)-FIND("/", B43)))</f>
        <v>25</v>
      </c>
    </row>
    <row r="45" spans="1:9" x14ac:dyDescent="0.25">
      <c r="A45" s="19" t="s">
        <v>49</v>
      </c>
      <c r="B45" s="19"/>
      <c r="C45" s="18">
        <f>AVERAGE(D42:D43)</f>
        <v>2300.7461093542888</v>
      </c>
    </row>
    <row r="46" spans="1:9" x14ac:dyDescent="0.25">
      <c r="A46" s="20" t="s">
        <v>49</v>
      </c>
      <c r="B46" s="20"/>
      <c r="C46" s="13">
        <f>AVERAGE(E42:E43)</f>
        <v>0.23007461093542891</v>
      </c>
    </row>
    <row r="47" spans="1:9" x14ac:dyDescent="0.25">
      <c r="A47" s="20" t="s">
        <v>50</v>
      </c>
      <c r="B47" s="20"/>
      <c r="C47" s="21" t="s">
        <v>63</v>
      </c>
      <c r="D47" s="21"/>
      <c r="E47" s="21"/>
      <c r="F47" s="21"/>
    </row>
    <row r="49" spans="1:9" x14ac:dyDescent="0.25">
      <c r="A49" s="23" t="s">
        <v>51</v>
      </c>
      <c r="B49" s="23"/>
    </row>
    <row r="50" spans="1:9" x14ac:dyDescent="0.25">
      <c r="A50" s="4" t="s">
        <v>19</v>
      </c>
      <c r="B50" s="4" t="s">
        <v>26</v>
      </c>
      <c r="C50" s="4" t="s">
        <v>27</v>
      </c>
      <c r="D50" s="4" t="s">
        <v>52</v>
      </c>
      <c r="E50" s="4" t="s">
        <v>53</v>
      </c>
    </row>
    <row r="51" spans="1:9" x14ac:dyDescent="0.25">
      <c r="A51" s="4" t="s">
        <v>11</v>
      </c>
      <c r="B51" s="5" t="str">
        <f>"250/250"</f>
        <v>250/250</v>
      </c>
      <c r="C51" s="10">
        <f>AVERAGE(1.093,1.097)</f>
        <v>1.095</v>
      </c>
      <c r="D51" s="9">
        <f>((C51)*(H51)*(I51))/(G51*$F$7)</f>
        <v>944.28158370630842</v>
      </c>
      <c r="E51" s="9">
        <f>D51/10000</f>
        <v>9.4428158370630844E-2</v>
      </c>
      <c r="G51" s="11">
        <f>digestion_page!B10</f>
        <v>0.30969999999999998</v>
      </c>
      <c r="H51" s="11">
        <f>digestion_page!C10</f>
        <v>250</v>
      </c>
      <c r="I51" s="11">
        <f>(LEFT(B51,FIND("/",B51)-1)/RIGHT(B51,LEN(B51)-FIND("/", B51)))</f>
        <v>1</v>
      </c>
    </row>
    <row r="52" spans="1:9" x14ac:dyDescent="0.25">
      <c r="A52" s="4" t="s">
        <v>12</v>
      </c>
      <c r="B52" s="5" t="str">
        <f>"250/250"</f>
        <v>250/250</v>
      </c>
      <c r="C52" s="10">
        <f>AVERAGE(1.294,1.303)</f>
        <v>1.2985</v>
      </c>
      <c r="D52" s="9">
        <f>((C52)*(H52)*(I52))/(G52*$F$7)</f>
        <v>1133.6815606803966</v>
      </c>
      <c r="E52" s="9">
        <f>D52/10000</f>
        <v>0.11336815606803965</v>
      </c>
      <c r="G52" s="11">
        <f>digestion_page!B11</f>
        <v>0.30590000000000001</v>
      </c>
      <c r="H52" s="11">
        <f>digestion_page!C11</f>
        <v>250</v>
      </c>
      <c r="I52" s="11">
        <f>(LEFT(B52,FIND("/",B52)-1)/RIGHT(B52,LEN(B52)-FIND("/", B52)))</f>
        <v>1</v>
      </c>
    </row>
    <row r="54" spans="1:9" x14ac:dyDescent="0.25">
      <c r="A54" s="19" t="s">
        <v>54</v>
      </c>
      <c r="B54" s="19"/>
      <c r="C54" s="18">
        <f>AVERAGE(D51:D52)</f>
        <v>1038.9815721933526</v>
      </c>
    </row>
    <row r="55" spans="1:9" x14ac:dyDescent="0.25">
      <c r="A55" s="20" t="s">
        <v>54</v>
      </c>
      <c r="B55" s="20"/>
      <c r="C55" s="13">
        <f>AVERAGE(E51:E52)</f>
        <v>0.10389815721933525</v>
      </c>
    </row>
    <row r="56" spans="1:9" x14ac:dyDescent="0.25">
      <c r="A56" s="20" t="s">
        <v>55</v>
      </c>
      <c r="B56" s="20"/>
      <c r="C56" s="21" t="s">
        <v>64</v>
      </c>
      <c r="D56" s="21"/>
      <c r="E56" s="21"/>
      <c r="F56" s="21"/>
    </row>
    <row r="58" spans="1:9" x14ac:dyDescent="0.25">
      <c r="A58" s="23" t="s">
        <v>56</v>
      </c>
      <c r="B58" s="23"/>
    </row>
    <row r="59" spans="1:9" x14ac:dyDescent="0.25">
      <c r="A59" s="4" t="s">
        <v>19</v>
      </c>
      <c r="B59" s="4" t="s">
        <v>26</v>
      </c>
      <c r="C59" s="4" t="s">
        <v>27</v>
      </c>
      <c r="D59" s="4" t="s">
        <v>57</v>
      </c>
      <c r="E59" s="4" t="s">
        <v>58</v>
      </c>
    </row>
    <row r="60" spans="1:9" x14ac:dyDescent="0.25">
      <c r="A60" s="4" t="s">
        <v>11</v>
      </c>
      <c r="B60" s="5" t="str">
        <f>"10/9"</f>
        <v>10/9</v>
      </c>
      <c r="C60" s="10">
        <f>AVERAGE(0.058)</f>
        <v>5.8000000000000003E-2</v>
      </c>
      <c r="D60" s="9">
        <f>((C60)*(H60)*(I60))/(G60*$F$7)</f>
        <v>55.574157133400192</v>
      </c>
      <c r="E60" s="9">
        <f>D60/10000</f>
        <v>5.5574157133400194E-3</v>
      </c>
      <c r="G60" s="11">
        <f>digestion_page!B10</f>
        <v>0.30969999999999998</v>
      </c>
      <c r="H60" s="11">
        <f>digestion_page!C10</f>
        <v>250</v>
      </c>
      <c r="I60" s="11">
        <f>(LEFT(B60,FIND("/",B60)-1)/RIGHT(B60,LEN(B60)-FIND("/", B60)))</f>
        <v>1.1111111111111112</v>
      </c>
    </row>
    <row r="61" spans="1:9" x14ac:dyDescent="0.25">
      <c r="A61" s="4" t="s">
        <v>12</v>
      </c>
      <c r="B61" s="5" t="str">
        <f>"10/9"</f>
        <v>10/9</v>
      </c>
      <c r="C61" s="10">
        <f>0.044</f>
        <v>4.3999999999999997E-2</v>
      </c>
      <c r="D61" s="9">
        <f>((C61)*(H61)*(I61))/(G61*$F$7)</f>
        <v>42.683428460135595</v>
      </c>
      <c r="E61" s="9">
        <f>D61/10000</f>
        <v>4.2683428460135592E-3</v>
      </c>
      <c r="G61" s="11">
        <f>digestion_page!B11</f>
        <v>0.30590000000000001</v>
      </c>
      <c r="H61" s="11">
        <f>digestion_page!C11</f>
        <v>250</v>
      </c>
      <c r="I61" s="11">
        <f>(LEFT(B61,FIND("/",B61)-1)/RIGHT(B61,LEN(B61)-FIND("/", B61)))</f>
        <v>1.1111111111111112</v>
      </c>
    </row>
    <row r="63" spans="1:9" x14ac:dyDescent="0.25">
      <c r="A63" s="19" t="s">
        <v>59</v>
      </c>
      <c r="B63" s="19"/>
      <c r="C63" s="18">
        <f>AVERAGE(D60:D61)</f>
        <v>49.128792796767897</v>
      </c>
    </row>
    <row r="64" spans="1:9" x14ac:dyDescent="0.25">
      <c r="A64" s="20" t="s">
        <v>59</v>
      </c>
      <c r="B64" s="20"/>
      <c r="C64" s="13">
        <f>AVERAGE(E60:E61)</f>
        <v>4.9128792796767889E-3</v>
      </c>
    </row>
    <row r="65" spans="1:6" x14ac:dyDescent="0.25">
      <c r="A65" s="20" t="s">
        <v>60</v>
      </c>
      <c r="B65" s="20"/>
      <c r="C65" s="21" t="s">
        <v>65</v>
      </c>
      <c r="D65" s="21"/>
      <c r="E65" s="21"/>
      <c r="F65" s="21"/>
    </row>
    <row r="67" spans="1:6" x14ac:dyDescent="0.25">
      <c r="B67" s="7" t="s">
        <v>66</v>
      </c>
      <c r="C67" s="22"/>
      <c r="D67" s="22"/>
      <c r="E67" s="22"/>
      <c r="F67" s="22"/>
    </row>
    <row r="68" spans="1:6" x14ac:dyDescent="0.25">
      <c r="C68" s="22"/>
      <c r="D68" s="22"/>
      <c r="E68" s="22"/>
      <c r="F68" s="22"/>
    </row>
    <row r="69" spans="1:6" x14ac:dyDescent="0.25">
      <c r="C69" s="22"/>
      <c r="D69" s="22"/>
      <c r="E69" s="22"/>
      <c r="F69" s="22"/>
    </row>
  </sheetData>
  <mergeCells count="35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A31:B31"/>
    <mergeCell ref="A36:B36"/>
    <mergeCell ref="A37:B37"/>
    <mergeCell ref="A38:B38"/>
    <mergeCell ref="C38:F38"/>
    <mergeCell ref="A40:B40"/>
    <mergeCell ref="A45:B45"/>
    <mergeCell ref="A46:B46"/>
    <mergeCell ref="A47:B47"/>
    <mergeCell ref="C47:F47"/>
    <mergeCell ref="A49:B49"/>
    <mergeCell ref="A54:B54"/>
    <mergeCell ref="A55:B55"/>
    <mergeCell ref="A56:B56"/>
    <mergeCell ref="C56:F56"/>
    <mergeCell ref="A58:B58"/>
    <mergeCell ref="A63:B63"/>
    <mergeCell ref="A64:B64"/>
    <mergeCell ref="A65:B65"/>
    <mergeCell ref="C65:F65"/>
    <mergeCell ref="C67:F69"/>
  </mergeCells>
  <conditionalFormatting sqref="B5">
    <cfRule type="containsBlanks" dxfId="13" priority="1">
      <formula>LEN(TRIM(B5))=0</formula>
    </cfRule>
  </conditionalFormatting>
  <conditionalFormatting sqref="C18:F18">
    <cfRule type="containsBlanks" dxfId="12" priority="2">
      <formula>LEN(TRIM(C18))=0</formula>
    </cfRule>
  </conditionalFormatting>
  <conditionalFormatting sqref="C29:F29">
    <cfRule type="containsBlanks" dxfId="11" priority="3">
      <formula>LEN(TRIM(C29))=0</formula>
    </cfRule>
  </conditionalFormatting>
  <conditionalFormatting sqref="C38:F38">
    <cfRule type="containsBlanks" dxfId="10" priority="4">
      <formula>LEN(TRIM(C38))=0</formula>
    </cfRule>
  </conditionalFormatting>
  <conditionalFormatting sqref="C47:F47">
    <cfRule type="containsBlanks" dxfId="9" priority="5">
      <formula>LEN(TRIM(C47))=0</formula>
    </cfRule>
  </conditionalFormatting>
  <conditionalFormatting sqref="C56:F56">
    <cfRule type="containsBlanks" dxfId="8" priority="6">
      <formula>LEN(TRIM(C56))=0</formula>
    </cfRule>
  </conditionalFormatting>
  <conditionalFormatting sqref="C65:F65">
    <cfRule type="containsBlanks" dxfId="7" priority="7">
      <formula>LEN(TRIM(C65))=0</formula>
    </cfRule>
  </conditionalFormatting>
  <pageMargins left="0.7" right="0.7" top="0.75" bottom="0.75" header="0.3" footer="0.3"/>
  <pageSetup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9"/>
  <sheetViews>
    <sheetView tabSelected="1" topLeftCell="A40" zoomScaleNormal="100" workbookViewId="0">
      <selection activeCell="J28" sqref="J28"/>
    </sheetView>
  </sheetViews>
  <sheetFormatPr defaultRowHeight="15" x14ac:dyDescent="0.25"/>
  <cols>
    <col min="1" max="1" width="12" bestFit="1" customWidth="1"/>
    <col min="2" max="2" width="10.85546875" bestFit="1" customWidth="1"/>
    <col min="3" max="3" width="19.140625" bestFit="1" customWidth="1"/>
    <col min="4" max="4" width="15.28515625" bestFit="1" customWidth="1"/>
    <col min="5" max="5" width="11.85546875" bestFit="1" customWidth="1"/>
    <col min="6" max="6" width="10" bestFit="1" customWidth="1"/>
    <col min="7" max="59" width="7.7109375" customWidth="1"/>
  </cols>
  <sheetData>
    <row r="1" spans="1:13" x14ac:dyDescent="0.25">
      <c r="A1" s="1" t="s">
        <v>0</v>
      </c>
      <c r="B1" s="2">
        <v>46233</v>
      </c>
    </row>
    <row r="2" spans="1:13" x14ac:dyDescent="0.25">
      <c r="A2" s="1" t="s">
        <v>1</v>
      </c>
      <c r="B2" s="3" t="s">
        <v>2</v>
      </c>
    </row>
    <row r="5" spans="1:13" x14ac:dyDescent="0.25">
      <c r="A5" s="7" t="s">
        <v>18</v>
      </c>
      <c r="B5" s="8">
        <v>900</v>
      </c>
    </row>
    <row r="6" spans="1:13" x14ac:dyDescent="0.25">
      <c r="A6" s="4" t="s">
        <v>19</v>
      </c>
      <c r="B6" s="4" t="s">
        <v>20</v>
      </c>
      <c r="C6" s="4" t="s">
        <v>21</v>
      </c>
      <c r="D6" s="4" t="str">
        <f>"after "&amp;B5&amp;" °C"</f>
        <v>after 900 °C</v>
      </c>
      <c r="E6" s="4" t="s">
        <v>22</v>
      </c>
      <c r="F6" s="4" t="s">
        <v>23</v>
      </c>
    </row>
    <row r="7" spans="1:13" x14ac:dyDescent="0.25">
      <c r="A7" s="4" t="s">
        <v>67</v>
      </c>
      <c r="B7" s="6">
        <v>18.691500000000001</v>
      </c>
      <c r="C7" s="6">
        <v>20.8111</v>
      </c>
      <c r="D7" s="6">
        <v>20.710100000000001</v>
      </c>
      <c r="E7" s="9">
        <f>(((C7-B7)-(D7-B7))/(C7-B7))*100</f>
        <v>4.7650500094357033</v>
      </c>
      <c r="F7" s="6">
        <f>1-(E7/100)</f>
        <v>0.95234949990564299</v>
      </c>
    </row>
    <row r="9" spans="1:13" x14ac:dyDescent="0.25">
      <c r="A9" s="23" t="s">
        <v>25</v>
      </c>
      <c r="B9" s="23"/>
    </row>
    <row r="10" spans="1:13" x14ac:dyDescent="0.25">
      <c r="A10" s="4" t="s">
        <v>19</v>
      </c>
      <c r="B10" s="4" t="s">
        <v>26</v>
      </c>
      <c r="C10" s="4" t="s">
        <v>27</v>
      </c>
      <c r="D10" s="4" t="s">
        <v>28</v>
      </c>
      <c r="E10" s="4" t="s">
        <v>29</v>
      </c>
      <c r="G10" s="15"/>
      <c r="H10" s="15"/>
      <c r="I10" s="15"/>
      <c r="J10" s="15"/>
      <c r="K10" s="15"/>
      <c r="L10" s="15"/>
      <c r="M10" s="15"/>
    </row>
    <row r="11" spans="1:13" x14ac:dyDescent="0.25">
      <c r="A11" s="4" t="s">
        <v>13</v>
      </c>
      <c r="B11" s="5" t="str">
        <f>"25/0.77"</f>
        <v>25/0.77</v>
      </c>
      <c r="C11" s="10">
        <f>AVERAGE(2.1,2.104,2.112)</f>
        <v>2.1053333333333337</v>
      </c>
      <c r="D11" s="9">
        <f>((C11)*(H11)*(I11))/(G11*$F$7)</f>
        <v>58697.332067744821</v>
      </c>
      <c r="E11" s="9">
        <f>D11/10000</f>
        <v>5.8697332067744821</v>
      </c>
      <c r="G11" s="16">
        <f>digestion_page!B12</f>
        <v>0.30570000000000003</v>
      </c>
      <c r="H11" s="16">
        <f>digestion_page!C12</f>
        <v>250</v>
      </c>
      <c r="I11" s="16">
        <f>(LEFT(B11,FIND("/",B11)-1)/RIGHT(B11,LEN(B11)-FIND("/", B11)))</f>
        <v>32.467532467532465</v>
      </c>
      <c r="J11" s="15"/>
      <c r="K11" s="15"/>
      <c r="L11" s="15"/>
      <c r="M11" s="15"/>
    </row>
    <row r="12" spans="1:13" x14ac:dyDescent="0.25">
      <c r="A12" s="4" t="s">
        <v>14</v>
      </c>
      <c r="B12" s="5" t="str">
        <f>"25/0.77"</f>
        <v>25/0.77</v>
      </c>
      <c r="C12" s="10">
        <f>AVERAGE(2.169,2.122,2.15)</f>
        <v>2.1470000000000002</v>
      </c>
      <c r="D12" s="9">
        <f>((C12)*(H12)*(I12))/(G12*$F$7)</f>
        <v>60532.25199313122</v>
      </c>
      <c r="E12" s="9">
        <f>D12/10000</f>
        <v>6.0532251993131219</v>
      </c>
      <c r="G12" s="16">
        <f>digestion_page!B13</f>
        <v>0.30230000000000001</v>
      </c>
      <c r="H12" s="16">
        <f>digestion_page!C13</f>
        <v>250</v>
      </c>
      <c r="I12" s="16">
        <f>(LEFT(B12,FIND("/",B12)-1)/RIGHT(B12,LEN(B12)-FIND("/", B12)))</f>
        <v>32.467532467532465</v>
      </c>
      <c r="J12" s="15"/>
      <c r="K12" s="15"/>
      <c r="L12" s="15"/>
      <c r="M12" s="15"/>
    </row>
    <row r="13" spans="1:13" x14ac:dyDescent="0.25">
      <c r="G13" s="15"/>
      <c r="H13" s="15"/>
      <c r="I13" s="15"/>
      <c r="J13" s="15"/>
      <c r="K13" s="15"/>
      <c r="L13" s="15"/>
      <c r="M13" s="15"/>
    </row>
    <row r="14" spans="1:13" x14ac:dyDescent="0.25">
      <c r="A14" s="20" t="s">
        <v>30</v>
      </c>
      <c r="B14" s="20"/>
      <c r="C14" s="12">
        <f>AVERAGE(D11:D12)</f>
        <v>59614.792030438024</v>
      </c>
      <c r="G14" s="15"/>
      <c r="H14" s="15"/>
      <c r="I14" s="15"/>
      <c r="J14" s="15"/>
      <c r="K14" s="15"/>
      <c r="L14" s="15"/>
      <c r="M14" s="15"/>
    </row>
    <row r="15" spans="1:13" x14ac:dyDescent="0.25">
      <c r="A15" s="20" t="s">
        <v>30</v>
      </c>
      <c r="B15" s="20"/>
      <c r="C15" s="13">
        <f>AVERAGE(E11:E12)</f>
        <v>5.961479203043802</v>
      </c>
      <c r="G15" s="15"/>
      <c r="H15" s="15"/>
      <c r="I15" s="15"/>
      <c r="J15" s="15"/>
      <c r="K15" s="15"/>
      <c r="L15" s="15"/>
      <c r="M15" s="15"/>
    </row>
    <row r="16" spans="1:13" x14ac:dyDescent="0.25">
      <c r="A16" s="20" t="s">
        <v>31</v>
      </c>
      <c r="B16" s="20"/>
      <c r="C16" s="3">
        <v>1.462</v>
      </c>
      <c r="G16" s="15"/>
      <c r="H16" s="15"/>
      <c r="I16" s="15"/>
      <c r="J16" s="15"/>
      <c r="K16" s="15"/>
      <c r="L16" s="15"/>
      <c r="M16" s="15"/>
    </row>
    <row r="17" spans="1:13" x14ac:dyDescent="0.25">
      <c r="A17" s="19" t="s">
        <v>32</v>
      </c>
      <c r="B17" s="19"/>
      <c r="C17" s="17">
        <f>AVERAGE(E11:E12)*(C16)</f>
        <v>8.7156825948500387</v>
      </c>
      <c r="G17" s="15"/>
      <c r="H17" s="15"/>
      <c r="I17" s="15"/>
      <c r="J17" s="15"/>
      <c r="K17" s="15"/>
      <c r="L17" s="15"/>
      <c r="M17" s="15"/>
    </row>
    <row r="18" spans="1:13" x14ac:dyDescent="0.25">
      <c r="A18" s="20" t="s">
        <v>33</v>
      </c>
      <c r="B18" s="20"/>
      <c r="C18" s="21" t="s">
        <v>61</v>
      </c>
      <c r="D18" s="21"/>
      <c r="E18" s="21"/>
      <c r="F18" s="21"/>
      <c r="G18" s="15"/>
      <c r="H18" s="15"/>
      <c r="I18" s="15"/>
      <c r="J18" s="15"/>
      <c r="K18" s="15"/>
      <c r="L18" s="15"/>
      <c r="M18" s="15"/>
    </row>
    <row r="20" spans="1:13" x14ac:dyDescent="0.25">
      <c r="A20" s="23" t="s">
        <v>34</v>
      </c>
      <c r="B20" s="23"/>
    </row>
    <row r="21" spans="1:13" x14ac:dyDescent="0.25">
      <c r="A21" s="4" t="s">
        <v>19</v>
      </c>
      <c r="B21" s="4" t="s">
        <v>26</v>
      </c>
      <c r="C21" s="4" t="s">
        <v>27</v>
      </c>
      <c r="D21" s="4" t="s">
        <v>35</v>
      </c>
      <c r="E21" s="4" t="s">
        <v>36</v>
      </c>
    </row>
    <row r="22" spans="1:13" x14ac:dyDescent="0.25">
      <c r="A22" s="4" t="s">
        <v>13</v>
      </c>
      <c r="B22" s="5" t="str">
        <f>"10/1"</f>
        <v>10/1</v>
      </c>
      <c r="C22" s="10">
        <f>AVERAGE(1.642,1.569,1.607,1.604)</f>
        <v>1.6054999999999999</v>
      </c>
      <c r="D22" s="9">
        <f>((C22)*(H22)*(I22))/(G22*$F$7)</f>
        <v>13786.642743907883</v>
      </c>
      <c r="E22" s="9">
        <f>D22/10000</f>
        <v>1.3786642743907884</v>
      </c>
      <c r="G22" s="11">
        <f>digestion_page!B12</f>
        <v>0.30570000000000003</v>
      </c>
      <c r="H22" s="11">
        <f>digestion_page!C12</f>
        <v>250</v>
      </c>
      <c r="I22" s="11">
        <f>(LEFT(B22,FIND("/",B22)-1)/RIGHT(B22,LEN(B22)-FIND("/", B22)))</f>
        <v>10</v>
      </c>
    </row>
    <row r="23" spans="1:13" x14ac:dyDescent="0.25">
      <c r="A23" s="4" t="s">
        <v>14</v>
      </c>
      <c r="B23" s="5" t="str">
        <f>"10/1"</f>
        <v>10/1</v>
      </c>
      <c r="C23" s="10">
        <f>AVERAGE(1.758,1.712,1.721,1.726)</f>
        <v>1.72925</v>
      </c>
      <c r="D23" s="9">
        <f>((C23)*(H23)*(I23))/(G23*$F$7)</f>
        <v>15016.3121573403</v>
      </c>
      <c r="E23" s="9">
        <f>D23/10000</f>
        <v>1.5016312157340301</v>
      </c>
      <c r="G23" s="11">
        <f>digestion_page!B13</f>
        <v>0.30230000000000001</v>
      </c>
      <c r="H23" s="11">
        <f>digestion_page!C13</f>
        <v>250</v>
      </c>
      <c r="I23" s="11">
        <f>(LEFT(B23,FIND("/",B23)-1)/RIGHT(B23,LEN(B23)-FIND("/", B23)))</f>
        <v>10</v>
      </c>
    </row>
    <row r="25" spans="1:13" x14ac:dyDescent="0.25">
      <c r="A25" s="20" t="s">
        <v>37</v>
      </c>
      <c r="B25" s="20"/>
      <c r="C25" s="12">
        <f>AVERAGE(D22:D23)</f>
        <v>14401.477450624092</v>
      </c>
    </row>
    <row r="26" spans="1:13" x14ac:dyDescent="0.25">
      <c r="A26" s="20" t="s">
        <v>37</v>
      </c>
      <c r="B26" s="20"/>
      <c r="C26" s="13">
        <f>AVERAGE(E22:E23)</f>
        <v>1.4401477450624092</v>
      </c>
    </row>
    <row r="27" spans="1:13" x14ac:dyDescent="0.25">
      <c r="A27" s="20" t="s">
        <v>38</v>
      </c>
      <c r="B27" s="20"/>
      <c r="C27" s="3">
        <v>1.252</v>
      </c>
    </row>
    <row r="28" spans="1:13" x14ac:dyDescent="0.25">
      <c r="A28" s="19" t="s">
        <v>39</v>
      </c>
      <c r="B28" s="19"/>
      <c r="C28" s="17">
        <f>AVERAGE(E22:E23)*(C27)</f>
        <v>1.8030649768181364</v>
      </c>
    </row>
    <row r="29" spans="1:13" x14ac:dyDescent="0.25">
      <c r="A29" s="20" t="s">
        <v>40</v>
      </c>
      <c r="B29" s="20"/>
      <c r="C29" s="21" t="s">
        <v>62</v>
      </c>
      <c r="D29" s="21"/>
      <c r="E29" s="21"/>
      <c r="F29" s="21"/>
    </row>
    <row r="31" spans="1:13" x14ac:dyDescent="0.25">
      <c r="A31" s="23" t="s">
        <v>41</v>
      </c>
      <c r="B31" s="23"/>
    </row>
    <row r="32" spans="1:13" x14ac:dyDescent="0.25">
      <c r="A32" s="4" t="s">
        <v>19</v>
      </c>
      <c r="B32" s="4" t="s">
        <v>26</v>
      </c>
      <c r="C32" s="4" t="s">
        <v>27</v>
      </c>
      <c r="D32" s="4" t="s">
        <v>42</v>
      </c>
      <c r="E32" s="4" t="s">
        <v>43</v>
      </c>
    </row>
    <row r="33" spans="1:9" x14ac:dyDescent="0.25">
      <c r="A33" s="4" t="s">
        <v>13</v>
      </c>
      <c r="B33" s="5" t="str">
        <f>"10/9"</f>
        <v>10/9</v>
      </c>
      <c r="C33" s="10">
        <f>AVERAGE(0.125,0.123)</f>
        <v>0.124</v>
      </c>
      <c r="D33" s="9">
        <f>((C33)*(H33)*(I33))/(G33*$F$7)</f>
        <v>118.31161633583014</v>
      </c>
      <c r="E33" s="9">
        <f>D33/10000</f>
        <v>1.1831161633583014E-2</v>
      </c>
      <c r="G33" s="11">
        <f>digestion_page!B12</f>
        <v>0.30570000000000003</v>
      </c>
      <c r="H33" s="11">
        <f>digestion_page!C12</f>
        <v>250</v>
      </c>
      <c r="I33" s="11">
        <f>(LEFT(B33,FIND("/",B33)-1)/RIGHT(B33,LEN(B33)-FIND("/", B33)))</f>
        <v>1.1111111111111112</v>
      </c>
    </row>
    <row r="34" spans="1:9" x14ac:dyDescent="0.25">
      <c r="A34" s="4" t="s">
        <v>14</v>
      </c>
      <c r="B34" s="5" t="str">
        <f>"10/9"</f>
        <v>10/9</v>
      </c>
      <c r="C34" s="10">
        <f>AVERAGE(0.126,0.124)</f>
        <v>0.125</v>
      </c>
      <c r="D34" s="9">
        <f>((C34)*(H34)*(I34))/(G34*$F$7)</f>
        <v>120.60713666281383</v>
      </c>
      <c r="E34" s="9">
        <f>D34/10000</f>
        <v>1.2060713666281383E-2</v>
      </c>
      <c r="G34" s="11">
        <f>digestion_page!B13</f>
        <v>0.30230000000000001</v>
      </c>
      <c r="H34" s="11">
        <f>digestion_page!C13</f>
        <v>250</v>
      </c>
      <c r="I34" s="11">
        <f>(LEFT(B34,FIND("/",B34)-1)/RIGHT(B34,LEN(B34)-FIND("/", B34)))</f>
        <v>1.1111111111111112</v>
      </c>
    </row>
    <row r="36" spans="1:9" x14ac:dyDescent="0.25">
      <c r="A36" s="19" t="s">
        <v>44</v>
      </c>
      <c r="B36" s="19"/>
      <c r="C36" s="18">
        <f>AVERAGE(D33:D34)</f>
        <v>119.45937649932199</v>
      </c>
    </row>
    <row r="37" spans="1:9" x14ac:dyDescent="0.25">
      <c r="A37" s="20" t="s">
        <v>44</v>
      </c>
      <c r="B37" s="20"/>
      <c r="C37" s="13">
        <f>AVERAGE(E33:E34)</f>
        <v>1.1945937649932199E-2</v>
      </c>
    </row>
    <row r="38" spans="1:9" x14ac:dyDescent="0.25">
      <c r="A38" s="20" t="s">
        <v>45</v>
      </c>
      <c r="B38" s="20"/>
      <c r="C38" s="21" t="s">
        <v>80</v>
      </c>
      <c r="D38" s="21"/>
      <c r="E38" s="21"/>
      <c r="F38" s="21"/>
    </row>
    <row r="40" spans="1:9" x14ac:dyDescent="0.25">
      <c r="A40" s="23" t="s">
        <v>46</v>
      </c>
      <c r="B40" s="23"/>
    </row>
    <row r="41" spans="1:9" x14ac:dyDescent="0.25">
      <c r="A41" s="4" t="s">
        <v>19</v>
      </c>
      <c r="B41" s="4" t="s">
        <v>26</v>
      </c>
      <c r="C41" s="4" t="s">
        <v>27</v>
      </c>
      <c r="D41" s="4" t="s">
        <v>47</v>
      </c>
      <c r="E41" s="4" t="s">
        <v>48</v>
      </c>
    </row>
    <row r="42" spans="1:9" x14ac:dyDescent="0.25">
      <c r="A42" s="4" t="s">
        <v>13</v>
      </c>
      <c r="B42" s="5" t="str">
        <f>"25/1"</f>
        <v>25/1</v>
      </c>
      <c r="C42" s="10">
        <f>AVERAGE(0.81,0.809)</f>
        <v>0.80950000000000011</v>
      </c>
      <c r="D42" s="9">
        <f>((C42)*(H42)*(I42))/(G42*$F$7)</f>
        <v>2086.6139813326008</v>
      </c>
      <c r="E42" s="9">
        <f>D42/10000</f>
        <v>0.2086613981332601</v>
      </c>
      <c r="G42" s="11">
        <f>digestion_page!B23</f>
        <v>0.50919999999999999</v>
      </c>
      <c r="H42" s="11">
        <f>digestion_page!C23</f>
        <v>50</v>
      </c>
      <c r="I42" s="11">
        <f>(LEFT(B42,FIND("/",B42)-1)/RIGHT(B42,LEN(B42)-FIND("/", B42)))</f>
        <v>25</v>
      </c>
    </row>
    <row r="43" spans="1:9" x14ac:dyDescent="0.25">
      <c r="A43" s="4" t="s">
        <v>14</v>
      </c>
      <c r="B43" s="5" t="str">
        <f>"25/1"</f>
        <v>25/1</v>
      </c>
      <c r="C43" s="10">
        <f>AVERAGE(0.812,0.811)</f>
        <v>0.81150000000000011</v>
      </c>
      <c r="D43" s="9">
        <f>((C43)*(H43)*(I43))/(G43*$F$7)</f>
        <v>2107.9139639586551</v>
      </c>
      <c r="E43" s="9">
        <f>D43/10000</f>
        <v>0.21079139639586553</v>
      </c>
      <c r="G43" s="11">
        <f>digestion_page!B24</f>
        <v>0.50529999999999997</v>
      </c>
      <c r="H43" s="11">
        <f>digestion_page!C24</f>
        <v>50</v>
      </c>
      <c r="I43" s="11">
        <f>(LEFT(B43,FIND("/",B43)-1)/RIGHT(B43,LEN(B43)-FIND("/", B43)))</f>
        <v>25</v>
      </c>
    </row>
    <row r="45" spans="1:9" x14ac:dyDescent="0.25">
      <c r="A45" s="19" t="s">
        <v>49</v>
      </c>
      <c r="B45" s="19"/>
      <c r="C45" s="18">
        <f>AVERAGE(D42:D43)</f>
        <v>2097.2639726456282</v>
      </c>
    </row>
    <row r="46" spans="1:9" x14ac:dyDescent="0.25">
      <c r="A46" s="20" t="s">
        <v>49</v>
      </c>
      <c r="B46" s="20"/>
      <c r="C46" s="13">
        <f>AVERAGE(E42:E43)</f>
        <v>0.20972639726456282</v>
      </c>
    </row>
    <row r="47" spans="1:9" x14ac:dyDescent="0.25">
      <c r="A47" s="20" t="s">
        <v>50</v>
      </c>
      <c r="B47" s="20"/>
      <c r="C47" s="21" t="s">
        <v>63</v>
      </c>
      <c r="D47" s="21"/>
      <c r="E47" s="21"/>
      <c r="F47" s="21"/>
    </row>
    <row r="49" spans="1:9" x14ac:dyDescent="0.25">
      <c r="A49" s="23" t="s">
        <v>51</v>
      </c>
      <c r="B49" s="23"/>
    </row>
    <row r="50" spans="1:9" x14ac:dyDescent="0.25">
      <c r="A50" s="4" t="s">
        <v>19</v>
      </c>
      <c r="B50" s="4" t="s">
        <v>26</v>
      </c>
      <c r="C50" s="4" t="s">
        <v>27</v>
      </c>
      <c r="D50" s="4" t="s">
        <v>52</v>
      </c>
      <c r="E50" s="4" t="s">
        <v>53</v>
      </c>
    </row>
    <row r="51" spans="1:9" x14ac:dyDescent="0.25">
      <c r="A51" s="4" t="s">
        <v>13</v>
      </c>
      <c r="B51" s="5" t="str">
        <f>"1/1"</f>
        <v>1/1</v>
      </c>
      <c r="C51" s="10">
        <f>AVERAGE(1.65,1.663)</f>
        <v>1.6564999999999999</v>
      </c>
      <c r="D51" s="9">
        <f>((C51)*(H51)*(I51))/(G51*$F$7)</f>
        <v>1422.4586549538092</v>
      </c>
      <c r="E51" s="9">
        <f>D51/10000</f>
        <v>0.14224586549538093</v>
      </c>
      <c r="G51" s="11">
        <f>digestion_page!B12</f>
        <v>0.30570000000000003</v>
      </c>
      <c r="H51" s="11">
        <f>digestion_page!C12</f>
        <v>250</v>
      </c>
      <c r="I51" s="11">
        <f>(LEFT(B51,FIND("/",B51)-1)/RIGHT(B51,LEN(B51)-FIND("/", B51)))</f>
        <v>1</v>
      </c>
    </row>
    <row r="52" spans="1:9" x14ac:dyDescent="0.25">
      <c r="A52" s="4" t="s">
        <v>14</v>
      </c>
      <c r="B52" s="5" t="str">
        <f>"1/1"</f>
        <v>1/1</v>
      </c>
      <c r="C52" s="10">
        <f>AVERAGE(1.436,1.449)</f>
        <v>1.4424999999999999</v>
      </c>
      <c r="D52" s="9">
        <f>((C52)*(H52)*(I52))/(G52*$F$7)</f>
        <v>1252.6257213799845</v>
      </c>
      <c r="E52" s="9">
        <f>D52/10000</f>
        <v>0.12526257213799846</v>
      </c>
      <c r="G52" s="11">
        <f>digestion_page!B13</f>
        <v>0.30230000000000001</v>
      </c>
      <c r="H52" s="11">
        <f>digestion_page!C13</f>
        <v>250</v>
      </c>
      <c r="I52" s="11">
        <f>(LEFT(B52,FIND("/",B52)-1)/RIGHT(B52,LEN(B52)-FIND("/", B52)))</f>
        <v>1</v>
      </c>
    </row>
    <row r="54" spans="1:9" x14ac:dyDescent="0.25">
      <c r="A54" s="19" t="s">
        <v>54</v>
      </c>
      <c r="B54" s="19"/>
      <c r="C54" s="18">
        <f>AVERAGE(D51:D52)</f>
        <v>1337.5421881668967</v>
      </c>
    </row>
    <row r="55" spans="1:9" x14ac:dyDescent="0.25">
      <c r="A55" s="20" t="s">
        <v>54</v>
      </c>
      <c r="B55" s="20"/>
      <c r="C55" s="13">
        <f>AVERAGE(E51:E52)</f>
        <v>0.1337542188166897</v>
      </c>
    </row>
    <row r="56" spans="1:9" x14ac:dyDescent="0.25">
      <c r="A56" s="20" t="s">
        <v>55</v>
      </c>
      <c r="B56" s="20"/>
      <c r="C56" s="21" t="s">
        <v>64</v>
      </c>
      <c r="D56" s="21"/>
      <c r="E56" s="21"/>
      <c r="F56" s="21"/>
    </row>
    <row r="58" spans="1:9" x14ac:dyDescent="0.25">
      <c r="A58" s="23" t="s">
        <v>56</v>
      </c>
      <c r="B58" s="23"/>
    </row>
    <row r="59" spans="1:9" x14ac:dyDescent="0.25">
      <c r="A59" s="4" t="s">
        <v>19</v>
      </c>
      <c r="B59" s="4" t="s">
        <v>26</v>
      </c>
      <c r="C59" s="4" t="s">
        <v>27</v>
      </c>
      <c r="D59" s="4" t="s">
        <v>57</v>
      </c>
      <c r="E59" s="4" t="s">
        <v>58</v>
      </c>
    </row>
    <row r="60" spans="1:9" x14ac:dyDescent="0.25">
      <c r="A60" s="4" t="s">
        <v>13</v>
      </c>
      <c r="B60" s="5" t="str">
        <f>"10/9"</f>
        <v>10/9</v>
      </c>
      <c r="C60" s="10">
        <f>AVERAGE(0.035,0.038)</f>
        <v>3.6500000000000005E-2</v>
      </c>
      <c r="D60" s="9">
        <f>((C60)*(H60)*(I60))/(G60*$F$7)</f>
        <v>34.825596744014526</v>
      </c>
      <c r="E60" s="9">
        <f>D60/10000</f>
        <v>3.4825596744014527E-3</v>
      </c>
      <c r="G60" s="11">
        <f>digestion_page!B12</f>
        <v>0.30570000000000003</v>
      </c>
      <c r="H60" s="11">
        <f>digestion_page!C12</f>
        <v>250</v>
      </c>
      <c r="I60" s="11">
        <f>(LEFT(B60,FIND("/",B60)-1)/RIGHT(B60,LEN(B60)-FIND("/", B60)))</f>
        <v>1.1111111111111112</v>
      </c>
    </row>
    <row r="61" spans="1:9" x14ac:dyDescent="0.25">
      <c r="A61" s="4" t="s">
        <v>14</v>
      </c>
      <c r="B61" s="5" t="str">
        <f>"10/9"</f>
        <v>10/9</v>
      </c>
      <c r="C61" s="10">
        <f>AVERAGE(0.031,0.033)</f>
        <v>3.2000000000000001E-2</v>
      </c>
      <c r="D61" s="9">
        <f>((C61)*(H61)*(I61))/(G61*$F$7)</f>
        <v>30.875426985680345</v>
      </c>
      <c r="E61" s="9">
        <f>D61/10000</f>
        <v>3.0875426985680346E-3</v>
      </c>
      <c r="G61" s="11">
        <f>digestion_page!B13</f>
        <v>0.30230000000000001</v>
      </c>
      <c r="H61" s="11">
        <f>digestion_page!C13</f>
        <v>250</v>
      </c>
      <c r="I61" s="11">
        <f>(LEFT(B61,FIND("/",B61)-1)/RIGHT(B61,LEN(B61)-FIND("/", B61)))</f>
        <v>1.1111111111111112</v>
      </c>
    </row>
    <row r="63" spans="1:9" x14ac:dyDescent="0.25">
      <c r="A63" s="19" t="s">
        <v>59</v>
      </c>
      <c r="B63" s="19"/>
      <c r="C63" s="18">
        <f>AVERAGE(D60:D61)</f>
        <v>32.850511864847434</v>
      </c>
    </row>
    <row r="64" spans="1:9" x14ac:dyDescent="0.25">
      <c r="A64" s="20" t="s">
        <v>59</v>
      </c>
      <c r="B64" s="20"/>
      <c r="C64" s="13">
        <f>AVERAGE(E60:E61)</f>
        <v>3.2850511864847436E-3</v>
      </c>
    </row>
    <row r="65" spans="1:6" x14ac:dyDescent="0.25">
      <c r="A65" s="20" t="s">
        <v>60</v>
      </c>
      <c r="B65" s="20"/>
      <c r="C65" s="21" t="s">
        <v>65</v>
      </c>
      <c r="D65" s="21"/>
      <c r="E65" s="21"/>
      <c r="F65" s="21"/>
    </row>
    <row r="67" spans="1:6" x14ac:dyDescent="0.25">
      <c r="B67" s="7" t="s">
        <v>66</v>
      </c>
      <c r="C67" s="22"/>
      <c r="D67" s="22"/>
      <c r="E67" s="22"/>
      <c r="F67" s="22"/>
    </row>
    <row r="68" spans="1:6" x14ac:dyDescent="0.25">
      <c r="C68" s="22"/>
      <c r="D68" s="22"/>
      <c r="E68" s="22"/>
      <c r="F68" s="22"/>
    </row>
    <row r="69" spans="1:6" x14ac:dyDescent="0.25">
      <c r="C69" s="22"/>
      <c r="D69" s="22"/>
      <c r="E69" s="22"/>
      <c r="F69" s="22"/>
    </row>
  </sheetData>
  <mergeCells count="35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A31:B31"/>
    <mergeCell ref="A36:B36"/>
    <mergeCell ref="A37:B37"/>
    <mergeCell ref="A38:B38"/>
    <mergeCell ref="C38:F38"/>
    <mergeCell ref="A40:B40"/>
    <mergeCell ref="A45:B45"/>
    <mergeCell ref="A46:B46"/>
    <mergeCell ref="A47:B47"/>
    <mergeCell ref="C47:F47"/>
    <mergeCell ref="A49:B49"/>
    <mergeCell ref="A54:B54"/>
    <mergeCell ref="A55:B55"/>
    <mergeCell ref="A56:B56"/>
    <mergeCell ref="C56:F56"/>
    <mergeCell ref="A58:B58"/>
    <mergeCell ref="A63:B63"/>
    <mergeCell ref="A64:B64"/>
    <mergeCell ref="A65:B65"/>
    <mergeCell ref="C65:F65"/>
    <mergeCell ref="C67:F69"/>
  </mergeCells>
  <conditionalFormatting sqref="B5">
    <cfRule type="containsBlanks" dxfId="6" priority="1">
      <formula>LEN(TRIM(B5))=0</formula>
    </cfRule>
  </conditionalFormatting>
  <conditionalFormatting sqref="C18:F18">
    <cfRule type="containsBlanks" dxfId="5" priority="2">
      <formula>LEN(TRIM(C18))=0</formula>
    </cfRule>
  </conditionalFormatting>
  <conditionalFormatting sqref="C29:F29">
    <cfRule type="containsBlanks" dxfId="4" priority="3">
      <formula>LEN(TRIM(C29))=0</formula>
    </cfRule>
  </conditionalFormatting>
  <conditionalFormatting sqref="C38:F38">
    <cfRule type="containsBlanks" dxfId="3" priority="4">
      <formula>LEN(TRIM(C38))=0</formula>
    </cfRule>
  </conditionalFormatting>
  <conditionalFormatting sqref="C47:F47">
    <cfRule type="containsBlanks" dxfId="2" priority="5">
      <formula>LEN(TRIM(C47))=0</formula>
    </cfRule>
  </conditionalFormatting>
  <conditionalFormatting sqref="C56:F56">
    <cfRule type="containsBlanks" dxfId="1" priority="6">
      <formula>LEN(TRIM(C56))=0</formula>
    </cfRule>
  </conditionalFormatting>
  <conditionalFormatting sqref="C65:F65">
    <cfRule type="containsBlanks" dxfId="0" priority="7">
      <formula>LEN(TRIM(C65))=0</formula>
    </cfRule>
  </conditionalFormatting>
  <pageMargins left="0.7" right="0.7" top="0.75" bottom="0.75" header="0.3" footer="0.3"/>
  <pageSetup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17"/>
  <sheetViews>
    <sheetView tabSelected="1" workbookViewId="0">
      <selection activeCell="J28" sqref="J28"/>
    </sheetView>
  </sheetViews>
  <sheetFormatPr defaultRowHeight="15" x14ac:dyDescent="0.25"/>
  <cols>
    <col min="1" max="1" width="46.140625" bestFit="1" customWidth="1"/>
  </cols>
  <sheetData>
    <row r="1" spans="1:1" x14ac:dyDescent="0.25">
      <c r="A1" s="14" t="s">
        <v>68</v>
      </c>
    </row>
    <row r="3" spans="1:1" x14ac:dyDescent="0.25">
      <c r="A3" s="14" t="s">
        <v>69</v>
      </c>
    </row>
    <row r="5" spans="1:1" x14ac:dyDescent="0.25">
      <c r="A5" s="14" t="s">
        <v>70</v>
      </c>
    </row>
    <row r="7" spans="1:1" x14ac:dyDescent="0.25">
      <c r="A7" s="14" t="s">
        <v>71</v>
      </c>
    </row>
    <row r="8" spans="1:1" x14ac:dyDescent="0.25">
      <c r="A8" s="14" t="s">
        <v>72</v>
      </c>
    </row>
    <row r="9" spans="1:1" x14ac:dyDescent="0.25">
      <c r="A9" s="14" t="s">
        <v>73</v>
      </c>
    </row>
    <row r="11" spans="1:1" x14ac:dyDescent="0.25">
      <c r="A11" s="14" t="s">
        <v>74</v>
      </c>
    </row>
    <row r="13" spans="1:1" x14ac:dyDescent="0.25">
      <c r="A13" s="14" t="s">
        <v>75</v>
      </c>
    </row>
    <row r="15" spans="1:1" x14ac:dyDescent="0.25">
      <c r="A15" s="14" t="s">
        <v>76</v>
      </c>
    </row>
    <row r="17" spans="1:1" x14ac:dyDescent="0.25">
      <c r="A17" s="14" t="s">
        <v>77</v>
      </c>
    </row>
  </sheetData>
  <pageMargins left="0.7" right="0.7" top="0.75" bottom="0.75" header="0.3" footer="0.3"/>
  <pageSetup fitToHeight="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digestion_page</vt:lpstr>
      <vt:lpstr>200128736</vt:lpstr>
      <vt:lpstr>200128737</vt:lpstr>
      <vt:lpstr>formula_page</vt:lpstr>
      <vt:lpstr>'200128736'!Print_Area</vt:lpstr>
      <vt:lpstr>'200128737'!Print_Area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cp:lastPrinted>2026-08-04T15:53:40Z</cp:lastPrinted>
  <dcterms:created xsi:type="dcterms:W3CDTF">2026-07-30T20:10:42Z</dcterms:created>
  <dcterms:modified xsi:type="dcterms:W3CDTF">2026-08-04T15:53:45Z</dcterms:modified>
</cp:coreProperties>
</file>