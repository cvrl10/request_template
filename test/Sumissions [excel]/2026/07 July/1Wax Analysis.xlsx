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7 July/"/>
    </mc:Choice>
  </mc:AlternateContent>
  <xr:revisionPtr revIDLastSave="78" documentId="6_{5C32D496-A574-4E87-86C3-823113180F58}" xr6:coauthVersionLast="47" xr6:coauthVersionMax="47" xr10:uidLastSave="{A192DE4A-DC65-4561-9E12-1D26389CD026}"/>
  <bookViews>
    <workbookView xWindow="-120" yWindow="-120" windowWidth="29040" windowHeight="15720" activeTab="3" xr2:uid="{00000000-000D-0000-FFFF-FFFF00000000}"/>
  </bookViews>
  <sheets>
    <sheet name="digestion_page" sheetId="1" r:id="rId1"/>
    <sheet name="200128352" sheetId="2" r:id="rId2"/>
    <sheet name="200128353" sheetId="3" r:id="rId3"/>
    <sheet name="200128354" sheetId="4" r:id="rId4"/>
    <sheet name="formula_p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C35" i="4"/>
  <c r="C26" i="4"/>
  <c r="C25" i="4"/>
  <c r="C16" i="4"/>
  <c r="C17" i="4"/>
  <c r="C8" i="4"/>
  <c r="C7" i="4"/>
  <c r="C35" i="3"/>
  <c r="C34" i="3"/>
  <c r="C17" i="3"/>
  <c r="C16" i="3"/>
  <c r="C8" i="3"/>
  <c r="C7" i="3"/>
  <c r="C8" i="2"/>
  <c r="C7" i="2"/>
  <c r="H35" i="4"/>
  <c r="G35" i="4"/>
  <c r="B35" i="4"/>
  <c r="I35" i="4" s="1"/>
  <c r="D35" i="4" s="1"/>
  <c r="E35" i="4" s="1"/>
  <c r="I34" i="4"/>
  <c r="H34" i="4"/>
  <c r="D34" i="4" s="1"/>
  <c r="G34" i="4"/>
  <c r="B34" i="4"/>
  <c r="H26" i="4"/>
  <c r="G26" i="4"/>
  <c r="B26" i="4"/>
  <c r="I26" i="4" s="1"/>
  <c r="I25" i="4"/>
  <c r="H25" i="4"/>
  <c r="G25" i="4"/>
  <c r="B25" i="4"/>
  <c r="H17" i="4"/>
  <c r="G17" i="4"/>
  <c r="B17" i="4"/>
  <c r="I17" i="4" s="1"/>
  <c r="I16" i="4"/>
  <c r="H16" i="4"/>
  <c r="G16" i="4"/>
  <c r="B16" i="4"/>
  <c r="H8" i="4"/>
  <c r="G8" i="4"/>
  <c r="B8" i="4"/>
  <c r="I8" i="4" s="1"/>
  <c r="D8" i="4" s="1"/>
  <c r="E8" i="4" s="1"/>
  <c r="I7" i="4"/>
  <c r="H7" i="4"/>
  <c r="G7" i="4"/>
  <c r="B7" i="4"/>
  <c r="I35" i="3"/>
  <c r="H35" i="3"/>
  <c r="G35" i="3"/>
  <c r="B35" i="3"/>
  <c r="H34" i="3"/>
  <c r="G34" i="3"/>
  <c r="B34" i="3"/>
  <c r="I34" i="3" s="1"/>
  <c r="D34" i="3" s="1"/>
  <c r="I26" i="3"/>
  <c r="H26" i="3"/>
  <c r="D26" i="3" s="1"/>
  <c r="E26" i="3" s="1"/>
  <c r="G26" i="3"/>
  <c r="B26" i="3"/>
  <c r="H25" i="3"/>
  <c r="G25" i="3"/>
  <c r="B25" i="3"/>
  <c r="I25" i="3" s="1"/>
  <c r="D25" i="3" s="1"/>
  <c r="I17" i="3"/>
  <c r="H17" i="3"/>
  <c r="G17" i="3"/>
  <c r="B17" i="3"/>
  <c r="H16" i="3"/>
  <c r="G16" i="3"/>
  <c r="B16" i="3"/>
  <c r="I16" i="3" s="1"/>
  <c r="H8" i="3"/>
  <c r="G8" i="3"/>
  <c r="B8" i="3"/>
  <c r="I8" i="3" s="1"/>
  <c r="D8" i="3" s="1"/>
  <c r="E8" i="3" s="1"/>
  <c r="I7" i="3"/>
  <c r="H7" i="3"/>
  <c r="G7" i="3"/>
  <c r="B7" i="3"/>
  <c r="H35" i="2"/>
  <c r="G35" i="2"/>
  <c r="B35" i="2"/>
  <c r="I35" i="2" s="1"/>
  <c r="I34" i="2"/>
  <c r="H34" i="2"/>
  <c r="D34" i="2" s="1"/>
  <c r="G34" i="2"/>
  <c r="B34" i="2"/>
  <c r="H26" i="2"/>
  <c r="G26" i="2"/>
  <c r="B26" i="2"/>
  <c r="I26" i="2" s="1"/>
  <c r="D26" i="2" s="1"/>
  <c r="E26" i="2" s="1"/>
  <c r="I25" i="2"/>
  <c r="H25" i="2"/>
  <c r="G25" i="2"/>
  <c r="B25" i="2"/>
  <c r="I17" i="2"/>
  <c r="H17" i="2"/>
  <c r="D17" i="2" s="1"/>
  <c r="E17" i="2" s="1"/>
  <c r="G17" i="2"/>
  <c r="B17" i="2"/>
  <c r="H16" i="2"/>
  <c r="G16" i="2"/>
  <c r="B16" i="2"/>
  <c r="I16" i="2" s="1"/>
  <c r="I8" i="2"/>
  <c r="H8" i="2"/>
  <c r="G8" i="2"/>
  <c r="B8" i="2"/>
  <c r="H7" i="2"/>
  <c r="G7" i="2"/>
  <c r="B7" i="2"/>
  <c r="I7" i="2" s="1"/>
  <c r="D25" i="4" l="1"/>
  <c r="E25" i="4" s="1"/>
  <c r="D17" i="4"/>
  <c r="E17" i="4" s="1"/>
  <c r="D35" i="3"/>
  <c r="E35" i="3" s="1"/>
  <c r="D7" i="3"/>
  <c r="E7" i="3" s="1"/>
  <c r="C11" i="3" s="1"/>
  <c r="D7" i="2"/>
  <c r="D26" i="4"/>
  <c r="E26" i="4" s="1"/>
  <c r="D16" i="4"/>
  <c r="E16" i="4" s="1"/>
  <c r="C20" i="4" s="1"/>
  <c r="D7" i="4"/>
  <c r="E7" i="4" s="1"/>
  <c r="C11" i="4" s="1"/>
  <c r="D16" i="3"/>
  <c r="D17" i="3"/>
  <c r="E17" i="3" s="1"/>
  <c r="D8" i="2"/>
  <c r="E8" i="2" s="1"/>
  <c r="D25" i="2"/>
  <c r="E25" i="2" s="1"/>
  <c r="C29" i="2" s="1"/>
  <c r="D16" i="2"/>
  <c r="E16" i="2" s="1"/>
  <c r="C20" i="2" s="1"/>
  <c r="D35" i="2"/>
  <c r="E35" i="2" s="1"/>
  <c r="C28" i="3"/>
  <c r="E25" i="3"/>
  <c r="C29" i="3" s="1"/>
  <c r="E34" i="3"/>
  <c r="C37" i="3"/>
  <c r="C37" i="4"/>
  <c r="E34" i="4"/>
  <c r="C38" i="4" s="1"/>
  <c r="C28" i="2"/>
  <c r="E34" i="2"/>
  <c r="C19" i="2"/>
  <c r="E7" i="2"/>
  <c r="C10" i="4"/>
  <c r="C19" i="4" l="1"/>
  <c r="C38" i="3"/>
  <c r="C19" i="3"/>
  <c r="E16" i="3"/>
  <c r="C10" i="3"/>
  <c r="C11" i="2"/>
  <c r="C10" i="2"/>
  <c r="C29" i="4"/>
  <c r="C28" i="4"/>
  <c r="C20" i="3"/>
  <c r="C37" i="2"/>
  <c r="C38" i="2"/>
</calcChain>
</file>

<file path=xl/sharedStrings.xml><?xml version="1.0" encoding="utf-8"?>
<sst xmlns="http://schemas.openxmlformats.org/spreadsheetml/2006/main" count="208" uniqueCount="102">
  <si>
    <t>Date:</t>
  </si>
  <si>
    <t>Request ID:</t>
  </si>
  <si>
    <t>Wax Analysis</t>
  </si>
  <si>
    <t>Microwave</t>
  </si>
  <si>
    <t>Analyte(s)</t>
  </si>
  <si>
    <t>Al, Co, Cu, Ti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</si>
  <si>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</si>
  <si>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</si>
  <si>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</si>
  <si>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</si>
  <si>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</si>
  <si>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</si>
  <si>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</si>
  <si>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</si>
  <si>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</si>
  <si>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</si>
  <si>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</si>
  <si>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</si>
  <si>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</si>
  <si>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200128352_1</t>
  </si>
  <si>
    <t>200128352_2</t>
  </si>
  <si>
    <t>Al_2, Co_2, Cu_2, Ti_2</t>
  </si>
  <si>
    <t>200128353_1</t>
  </si>
  <si>
    <t>200128353_2</t>
  </si>
  <si>
    <t>Al_3, Co_3, Cu_3, Ti_3</t>
  </si>
  <si>
    <t>200128354_1</t>
  </si>
  <si>
    <t>200128354_2</t>
  </si>
  <si>
    <t>Al ICP analysis</t>
  </si>
  <si>
    <t>sample</t>
  </si>
  <si>
    <t>Dilution</t>
  </si>
  <si>
    <t>conc. [mg/L]</t>
  </si>
  <si>
    <t>Al_ppm</t>
  </si>
  <si>
    <t>%Al</t>
  </si>
  <si>
    <t>al result:</t>
  </si>
  <si>
    <t>al lot:</t>
  </si>
  <si>
    <t>Co ICP analysis</t>
  </si>
  <si>
    <t>Co_ppm</t>
  </si>
  <si>
    <t>%Co</t>
  </si>
  <si>
    <t>co result:</t>
  </si>
  <si>
    <t>co lot:</t>
  </si>
  <si>
    <t>Cu ICP analysis</t>
  </si>
  <si>
    <t>Cu_ppm</t>
  </si>
  <si>
    <t>%Cu</t>
  </si>
  <si>
    <t>cu result:</t>
  </si>
  <si>
    <t>cu lot:</t>
  </si>
  <si>
    <t>Ti ICP analysis</t>
  </si>
  <si>
    <t>Ti_ppm</t>
  </si>
  <si>
    <t>%Ti</t>
  </si>
  <si>
    <t>ti result:</t>
  </si>
  <si>
    <t>ti lot:</t>
  </si>
  <si>
    <t>Manufacturer: Assurance, 27-171ALT exp: 2026-07-30</t>
  </si>
  <si>
    <t>Manufacturer: Assurance, 29-22COY exp: 2027-06-30</t>
  </si>
  <si>
    <t>Manufacturer: Assurance, 28-83CUT exp: 2026-09-30</t>
  </si>
  <si>
    <t>Manufacturer: Assurance, 27-189TIT exp: 2026-08-30</t>
  </si>
  <si>
    <t>Note(s):</t>
  </si>
  <si>
    <t>Al_2 ICP analysis</t>
  </si>
  <si>
    <t>Al_2_ppm</t>
  </si>
  <si>
    <t>%Al_2</t>
  </si>
  <si>
    <t>al_2 result:</t>
  </si>
  <si>
    <t>al_2 lot:</t>
  </si>
  <si>
    <t>Co_2 ICP analysis</t>
  </si>
  <si>
    <t>Co_2_ppm</t>
  </si>
  <si>
    <t>%Co_2</t>
  </si>
  <si>
    <t>co_2 result:</t>
  </si>
  <si>
    <t>co_2 lot:</t>
  </si>
  <si>
    <t>Cu_2 ICP analysis</t>
  </si>
  <si>
    <t>Cu_2_ppm</t>
  </si>
  <si>
    <t>%Cu_2</t>
  </si>
  <si>
    <t>cu_2 result:</t>
  </si>
  <si>
    <t>cu_2 lot:</t>
  </si>
  <si>
    <t>Ti_2 ICP analysis</t>
  </si>
  <si>
    <t>Ti_2_ppm</t>
  </si>
  <si>
    <t>%Ti_2</t>
  </si>
  <si>
    <t>ti_2 result:</t>
  </si>
  <si>
    <t>ti_2 lot:</t>
  </si>
  <si>
    <t>Al_3 ICP analysis</t>
  </si>
  <si>
    <t>Al_3_ppm</t>
  </si>
  <si>
    <t>%Al_3</t>
  </si>
  <si>
    <t>al_3 result:</t>
  </si>
  <si>
    <t>al_3 lot:</t>
  </si>
  <si>
    <t>Co_3 ICP analysis</t>
  </si>
  <si>
    <t>Co_3_ppm</t>
  </si>
  <si>
    <t>%Co_3</t>
  </si>
  <si>
    <t>co_3 result:</t>
  </si>
  <si>
    <t>co_3 lot:</t>
  </si>
  <si>
    <t>Cu_3 ICP analysis</t>
  </si>
  <si>
    <t>Cu_3_ppm</t>
  </si>
  <si>
    <t>%Cu_3</t>
  </si>
  <si>
    <t>cu_3 result:</t>
  </si>
  <si>
    <t>cu_3 lot:</t>
  </si>
  <si>
    <t>Ti_3 ICP analysis</t>
  </si>
  <si>
    <t>Ti_3_ppm</t>
  </si>
  <si>
    <t>%Ti_3</t>
  </si>
  <si>
    <t>ti_3 result:</t>
  </si>
  <si>
    <t>ti_3 lot:</t>
  </si>
  <si>
    <t>ppm M+ = [conc.][volume][dilution]/[weight]</t>
  </si>
  <si>
    <t>%M+ = [conc.][volume][dilution]/([weight]*10,000)</t>
  </si>
  <si>
    <t>%MO = [oxide factor]*%M+</t>
  </si>
  <si>
    <t>200128352_3</t>
  </si>
  <si>
    <t>200128352_4</t>
  </si>
  <si>
    <t>200128352_5</t>
  </si>
  <si>
    <t>200128352_6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</si>
</sst>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167" fontId="0" fillId="2" borderId="0" xfId="0" applyNumberFormat="1" applyFill="1" applyAlignment="1">
      <alignment horizontal="left"/>
    </xf>
    <xf numFmtId="2" fontId="0" fillId="2" borderId="1" xfId="0" applyNumberFormat="1" applyFill="1" applyBorder="1"/>
    <xf numFmtId="166" fontId="0" fillId="3" borderId="1" xfId="0" applyNumberFormat="1" applyFill="1" applyBorder="1"/>
  </cellXfs>
  <cellStyles count="1">
    <cellStyle name="Normal" xfId="0" builtinId="0"/>
  </cellStyles>
  <dxfs count="12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opLeftCell="A31" workbookViewId="0">
      <selection activeCell="D54" sqref="D54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46225</v>
      </c>
    </row>
    <row r="2" spans="1:5" x14ac:dyDescent="0.25">
      <c r="A2" s="1" t="s">
        <v>1</v>
      </c>
      <c r="B2" s="3" t="s">
        <v>2</v>
      </c>
    </row>
    <row r="5" spans="1:5" x14ac:dyDescent="0.25">
      <c r="A5" s="14" t="s">
        <v>3</v>
      </c>
      <c r="B5" s="14"/>
      <c r="C5" s="14"/>
      <c r="D5" s="14"/>
      <c r="E5" s="14"/>
    </row>
    <row r="6" spans="1:5" x14ac:dyDescent="0.25">
      <c r="A6" s="4" t="s">
        <v>4</v>
      </c>
      <c r="B6" s="15" t="s">
        <v>5</v>
      </c>
      <c r="C6" s="15"/>
      <c r="D6" s="15"/>
      <c r="E6" s="15"/>
    </row>
    <row r="7" spans="1:5" x14ac:dyDescent="0.25">
      <c r="A7" s="4" t="s">
        <v>6</v>
      </c>
      <c r="B7" s="15"/>
      <c r="C7" s="15"/>
      <c r="D7" s="15"/>
      <c r="E7" s="15"/>
    </row>
    <row r="8" spans="1:5" x14ac:dyDescent="0.25">
      <c r="A8" s="4" t="s">
        <v>7</v>
      </c>
      <c r="B8" s="15"/>
      <c r="C8" s="15"/>
      <c r="D8" s="15"/>
      <c r="E8" s="15"/>
    </row>
    <row r="9" spans="1:5" x14ac:dyDescent="0.25">
      <c r="A9" s="4" t="s">
        <v>8</v>
      </c>
      <c r="B9" s="16"/>
      <c r="C9" s="16"/>
      <c r="D9" s="16"/>
      <c r="E9" s="16"/>
    </row>
    <row r="10" spans="1:5" x14ac:dyDescent="0.25">
      <c r="A10" s="4" t="s">
        <v>9</v>
      </c>
      <c r="B10" s="15"/>
      <c r="C10" s="15"/>
      <c r="D10" s="15"/>
      <c r="E10" s="15"/>
    </row>
    <row r="11" spans="1:5" x14ac:dyDescent="0.25">
      <c r="A11" s="4" t="s">
        <v>10</v>
      </c>
      <c r="B11" s="16"/>
      <c r="C11" s="16"/>
      <c r="D11" s="16"/>
      <c r="E11" s="16"/>
    </row>
    <row r="12" spans="1:5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</row>
    <row r="13" spans="1:5" x14ac:dyDescent="0.25">
      <c r="A13" s="5">
        <v>15</v>
      </c>
      <c r="B13" s="5">
        <v>1200</v>
      </c>
      <c r="C13" s="5">
        <v>180</v>
      </c>
      <c r="D13" s="5">
        <v>65</v>
      </c>
      <c r="E13" s="5">
        <v>110</v>
      </c>
    </row>
    <row r="14" spans="1:5" x14ac:dyDescent="0.25">
      <c r="A14" s="5">
        <v>15</v>
      </c>
      <c r="B14" s="5">
        <v>1500</v>
      </c>
      <c r="C14" s="5">
        <v>240</v>
      </c>
      <c r="D14" s="5">
        <v>65</v>
      </c>
      <c r="E14" s="5">
        <v>110</v>
      </c>
    </row>
    <row r="15" spans="1:5" x14ac:dyDescent="0.25">
      <c r="A15" s="5"/>
      <c r="B15" s="5"/>
      <c r="C15" s="5"/>
      <c r="D15" s="5"/>
      <c r="E15" s="5"/>
    </row>
    <row r="16" spans="1:5" x14ac:dyDescent="0.25">
      <c r="A16" s="4" t="s">
        <v>16</v>
      </c>
      <c r="B16" s="4" t="s">
        <v>17</v>
      </c>
      <c r="C16" s="4" t="s">
        <v>18</v>
      </c>
    </row>
    <row r="17" spans="1:5" x14ac:dyDescent="0.25">
      <c r="A17" s="4" t="s">
        <v>19</v>
      </c>
      <c r="B17" s="6">
        <v>0.45610000000000001</v>
      </c>
      <c r="C17" s="5">
        <v>50</v>
      </c>
    </row>
    <row r="18" spans="1:5" x14ac:dyDescent="0.25">
      <c r="A18" s="4" t="s">
        <v>20</v>
      </c>
      <c r="B18" s="6">
        <v>0.46110000000000001</v>
      </c>
      <c r="C18" s="5">
        <v>50</v>
      </c>
    </row>
    <row r="21" spans="1:5" x14ac:dyDescent="0.25">
      <c r="A21" s="14" t="s">
        <v>3</v>
      </c>
      <c r="B21" s="14"/>
      <c r="C21" s="14"/>
      <c r="D21" s="14"/>
      <c r="E21" s="14"/>
    </row>
    <row r="22" spans="1:5" x14ac:dyDescent="0.25">
      <c r="A22" s="4" t="s">
        <v>4</v>
      </c>
      <c r="B22" s="15" t="s">
        <v>21</v>
      </c>
      <c r="C22" s="15"/>
      <c r="D22" s="15"/>
      <c r="E22" s="15"/>
    </row>
    <row r="23" spans="1:5" x14ac:dyDescent="0.25">
      <c r="A23" s="4" t="s">
        <v>6</v>
      </c>
      <c r="B23" s="15"/>
      <c r="C23" s="15"/>
      <c r="D23" s="15"/>
      <c r="E23" s="15"/>
    </row>
    <row r="24" spans="1:5" x14ac:dyDescent="0.25">
      <c r="A24" s="4" t="s">
        <v>7</v>
      </c>
      <c r="B24" s="15"/>
      <c r="C24" s="15"/>
      <c r="D24" s="15"/>
      <c r="E24" s="15"/>
    </row>
    <row r="25" spans="1:5" x14ac:dyDescent="0.25">
      <c r="A25" s="4" t="s">
        <v>8</v>
      </c>
      <c r="B25" s="16"/>
      <c r="C25" s="16"/>
      <c r="D25" s="16"/>
      <c r="E25" s="16"/>
    </row>
    <row r="26" spans="1:5" x14ac:dyDescent="0.25">
      <c r="A26" s="4" t="s">
        <v>9</v>
      </c>
      <c r="B26" s="15"/>
      <c r="C26" s="15"/>
      <c r="D26" s="15"/>
      <c r="E26" s="15"/>
    </row>
    <row r="27" spans="1:5" x14ac:dyDescent="0.25">
      <c r="A27" s="4" t="s">
        <v>10</v>
      </c>
      <c r="B27" s="16"/>
      <c r="C27" s="16"/>
      <c r="D27" s="16"/>
      <c r="E27" s="16"/>
    </row>
    <row r="28" spans="1:5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</row>
    <row r="29" spans="1:5" x14ac:dyDescent="0.25">
      <c r="A29" s="5">
        <v>15</v>
      </c>
      <c r="B29" s="5">
        <v>1200</v>
      </c>
      <c r="C29" s="5">
        <v>180</v>
      </c>
      <c r="D29" s="5">
        <v>65</v>
      </c>
      <c r="E29" s="5">
        <v>110</v>
      </c>
    </row>
    <row r="30" spans="1:5" x14ac:dyDescent="0.25">
      <c r="A30" s="5">
        <v>15</v>
      </c>
      <c r="B30" s="5">
        <v>1500</v>
      </c>
      <c r="C30" s="5">
        <v>240</v>
      </c>
      <c r="D30" s="5">
        <v>65</v>
      </c>
      <c r="E30" s="5">
        <v>110</v>
      </c>
    </row>
    <row r="31" spans="1:5" x14ac:dyDescent="0.25">
      <c r="A31" s="5"/>
      <c r="B31" s="5"/>
      <c r="C31" s="5"/>
      <c r="D31" s="5"/>
      <c r="E31" s="5"/>
    </row>
    <row r="32" spans="1:5" x14ac:dyDescent="0.25">
      <c r="A32" s="4" t="s">
        <v>16</v>
      </c>
      <c r="B32" s="4" t="s">
        <v>17</v>
      </c>
      <c r="C32" s="4" t="s">
        <v>18</v>
      </c>
    </row>
    <row r="33" spans="1:5" x14ac:dyDescent="0.25">
      <c r="A33" s="4" t="s">
        <v>98</v>
      </c>
      <c r="B33" s="6">
        <v>0.1525</v>
      </c>
      <c r="C33" s="5">
        <v>25</v>
      </c>
    </row>
    <row r="34" spans="1:5" x14ac:dyDescent="0.25">
      <c r="A34" s="4" t="s">
        <v>99</v>
      </c>
      <c r="B34" s="6">
        <v>0.16969999999999999</v>
      </c>
      <c r="C34" s="5">
        <v>25</v>
      </c>
    </row>
    <row r="37" spans="1:5" x14ac:dyDescent="0.25">
      <c r="A37" s="14" t="s">
        <v>3</v>
      </c>
      <c r="B37" s="14"/>
      <c r="C37" s="14"/>
      <c r="D37" s="14"/>
      <c r="E37" s="14"/>
    </row>
    <row r="38" spans="1:5" x14ac:dyDescent="0.25">
      <c r="A38" s="4" t="s">
        <v>4</v>
      </c>
      <c r="B38" s="15" t="s">
        <v>24</v>
      </c>
      <c r="C38" s="15"/>
      <c r="D38" s="15"/>
      <c r="E38" s="15"/>
    </row>
    <row r="39" spans="1:5" x14ac:dyDescent="0.25">
      <c r="A39" s="4" t="s">
        <v>6</v>
      </c>
      <c r="B39" s="15"/>
      <c r="C39" s="15"/>
      <c r="D39" s="15"/>
      <c r="E39" s="15"/>
    </row>
    <row r="40" spans="1:5" x14ac:dyDescent="0.25">
      <c r="A40" s="4" t="s">
        <v>7</v>
      </c>
      <c r="B40" s="15"/>
      <c r="C40" s="15"/>
      <c r="D40" s="15"/>
      <c r="E40" s="15"/>
    </row>
    <row r="41" spans="1:5" x14ac:dyDescent="0.25">
      <c r="A41" s="4" t="s">
        <v>8</v>
      </c>
      <c r="B41" s="16"/>
      <c r="C41" s="16"/>
      <c r="D41" s="16"/>
      <c r="E41" s="16"/>
    </row>
    <row r="42" spans="1:5" x14ac:dyDescent="0.25">
      <c r="A42" s="4" t="s">
        <v>9</v>
      </c>
      <c r="B42" s="15"/>
      <c r="C42" s="15"/>
      <c r="D42" s="15"/>
      <c r="E42" s="15"/>
    </row>
    <row r="43" spans="1:5" x14ac:dyDescent="0.25">
      <c r="A43" s="4" t="s">
        <v>10</v>
      </c>
      <c r="B43" s="16"/>
      <c r="C43" s="16"/>
      <c r="D43" s="16"/>
      <c r="E43" s="16"/>
    </row>
    <row r="44" spans="1:5" x14ac:dyDescent="0.25">
      <c r="A44" s="4" t="s">
        <v>11</v>
      </c>
      <c r="B44" s="4" t="s">
        <v>12</v>
      </c>
      <c r="C44" s="4" t="s">
        <v>13</v>
      </c>
      <c r="D44" s="4" t="s">
        <v>14</v>
      </c>
      <c r="E44" s="4" t="s">
        <v>15</v>
      </c>
    </row>
    <row r="45" spans="1:5" x14ac:dyDescent="0.25">
      <c r="A45" s="5">
        <v>15</v>
      </c>
      <c r="B45" s="5">
        <v>1200</v>
      </c>
      <c r="C45" s="5">
        <v>180</v>
      </c>
      <c r="D45" s="5">
        <v>65</v>
      </c>
      <c r="E45" s="5">
        <v>110</v>
      </c>
    </row>
    <row r="46" spans="1:5" x14ac:dyDescent="0.25">
      <c r="A46" s="5">
        <v>15</v>
      </c>
      <c r="B46" s="5">
        <v>1500</v>
      </c>
      <c r="C46" s="5">
        <v>240</v>
      </c>
      <c r="D46" s="5">
        <v>65</v>
      </c>
      <c r="E46" s="5">
        <v>110</v>
      </c>
    </row>
    <row r="47" spans="1:5" x14ac:dyDescent="0.25">
      <c r="A47" s="5"/>
      <c r="B47" s="5"/>
      <c r="C47" s="5"/>
      <c r="D47" s="5"/>
      <c r="E47" s="5"/>
    </row>
    <row r="48" spans="1:5" x14ac:dyDescent="0.25">
      <c r="A48" s="4" t="s">
        <v>16</v>
      </c>
      <c r="B48" s="4" t="s">
        <v>17</v>
      </c>
      <c r="C48" s="4" t="s">
        <v>18</v>
      </c>
    </row>
    <row r="49" spans="1:3" x14ac:dyDescent="0.25">
      <c r="A49" s="4" t="s">
        <v>100</v>
      </c>
      <c r="B49" s="6">
        <v>0.4002</v>
      </c>
      <c r="C49" s="5">
        <v>25</v>
      </c>
    </row>
    <row r="50" spans="1:3" x14ac:dyDescent="0.25">
      <c r="A50" s="4" t="s">
        <v>101</v>
      </c>
      <c r="B50" s="6">
        <v>0.4017</v>
      </c>
      <c r="C50" s="5">
        <v>25</v>
      </c>
    </row>
  </sheetData>
  <mergeCells count="21">
    <mergeCell ref="B43:E43"/>
    <mergeCell ref="B38:E38"/>
    <mergeCell ref="B39:E39"/>
    <mergeCell ref="B40:E40"/>
    <mergeCell ref="B41:E41"/>
    <mergeCell ref="B42:E42"/>
    <mergeCell ref="B24:E24"/>
    <mergeCell ref="B25:E25"/>
    <mergeCell ref="B26:E26"/>
    <mergeCell ref="B27:E27"/>
    <mergeCell ref="A37:E37"/>
    <mergeCell ref="B10:E10"/>
    <mergeCell ref="B11:E11"/>
    <mergeCell ref="A21:E21"/>
    <mergeCell ref="B22:E22"/>
    <mergeCell ref="B23:E23"/>
    <mergeCell ref="A5:E5"/>
    <mergeCell ref="B6:E6"/>
    <mergeCell ref="B7:E7"/>
    <mergeCell ref="B8:E8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opLeftCell="A10" workbookViewId="0">
      <selection activeCell="C28" sqref="A28:C28"/>
    </sheetView>
  </sheetViews>
  <sheetFormatPr defaultRowHeight="15" x14ac:dyDescent="0.25"/>
  <cols>
    <col min="1" max="1" width="12" bestFit="1" customWidth="1"/>
    <col min="2" max="2" width="12.5703125" bestFit="1" customWidth="1"/>
    <col min="3" max="3" width="12.7109375" customWidth="1"/>
    <col min="4" max="4" width="8.28515625" bestFit="1" customWidth="1"/>
    <col min="5" max="5" width="7.7109375" customWidth="1"/>
    <col min="6" max="6" width="18.7109375" customWidth="1"/>
    <col min="7" max="33" width="7.7109375" customWidth="1"/>
  </cols>
  <sheetData>
    <row r="1" spans="1:9" x14ac:dyDescent="0.25">
      <c r="A1" s="1" t="s">
        <v>0</v>
      </c>
      <c r="B1" s="2">
        <v>46225</v>
      </c>
    </row>
    <row r="2" spans="1:9" x14ac:dyDescent="0.25">
      <c r="A2" s="1" t="s">
        <v>1</v>
      </c>
      <c r="B2" s="3" t="s">
        <v>2</v>
      </c>
    </row>
    <row r="5" spans="1:9" x14ac:dyDescent="0.25">
      <c r="A5" s="17" t="s">
        <v>27</v>
      </c>
      <c r="B5" s="17"/>
    </row>
    <row r="6" spans="1:9" x14ac:dyDescent="0.25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</row>
    <row r="7" spans="1:9" x14ac:dyDescent="0.25">
      <c r="A7" s="4" t="s">
        <v>19</v>
      </c>
      <c r="B7" s="5" t="str">
        <f>"1/1"</f>
        <v>1/1</v>
      </c>
      <c r="C7" s="7">
        <f>AVERAGE(0.187,0.2,0.187,0.193)</f>
        <v>0.19175000000000003</v>
      </c>
      <c r="D7" s="8">
        <f>((C7)*(H7)*(I7))/(G7*1)</f>
        <v>21.020609515457142</v>
      </c>
      <c r="E7" s="8">
        <f>D7/10000</f>
        <v>2.1020609515457144E-3</v>
      </c>
      <c r="G7" s="9">
        <f>digestion_page!B17</f>
        <v>0.45610000000000001</v>
      </c>
      <c r="H7" s="9">
        <f>digestion_page!C17</f>
        <v>50</v>
      </c>
      <c r="I7" s="9">
        <f>(LEFT(B7,FIND("/",B7)-1)/RIGHT(B7,LEN(B7)-FIND("/", B7)))</f>
        <v>1</v>
      </c>
    </row>
    <row r="8" spans="1:9" x14ac:dyDescent="0.25">
      <c r="A8" s="4" t="s">
        <v>20</v>
      </c>
      <c r="B8" s="5" t="str">
        <f>"1/1"</f>
        <v>1/1</v>
      </c>
      <c r="C8" s="7">
        <f>AVERAGE(0.185,0.189,0.178,0.193)</f>
        <v>0.18625000000000003</v>
      </c>
      <c r="D8" s="8">
        <f>((C8)*(H8)*(I8))/(G8*1)</f>
        <v>20.19626978963349</v>
      </c>
      <c r="E8" s="8">
        <f>D8/10000</f>
        <v>2.0196269789633488E-3</v>
      </c>
      <c r="G8" s="9">
        <f>digestion_page!B18</f>
        <v>0.46110000000000001</v>
      </c>
      <c r="H8" s="9">
        <f>digestion_page!C18</f>
        <v>50</v>
      </c>
      <c r="I8" s="9">
        <f>(LEFT(B8,FIND("/",B8)-1)/RIGHT(B8,LEN(B8)-FIND("/", B8)))</f>
        <v>1</v>
      </c>
    </row>
    <row r="10" spans="1:9" x14ac:dyDescent="0.25">
      <c r="A10" s="21" t="s">
        <v>33</v>
      </c>
      <c r="B10" s="21"/>
      <c r="C10" s="22">
        <f>AVERAGE(D7:D8)</f>
        <v>20.608439652545314</v>
      </c>
    </row>
    <row r="11" spans="1:9" x14ac:dyDescent="0.25">
      <c r="A11" s="18" t="s">
        <v>33</v>
      </c>
      <c r="B11" s="18"/>
      <c r="C11" s="12">
        <f>AVERAGE(E7:E8)</f>
        <v>2.0608439652545314E-3</v>
      </c>
    </row>
    <row r="12" spans="1:9" x14ac:dyDescent="0.25">
      <c r="A12" s="18" t="s">
        <v>34</v>
      </c>
      <c r="B12" s="18"/>
      <c r="C12" s="19" t="s">
        <v>50</v>
      </c>
      <c r="D12" s="19"/>
      <c r="E12" s="19"/>
      <c r="F12" s="19"/>
    </row>
    <row r="14" spans="1:9" x14ac:dyDescent="0.25">
      <c r="A14" s="17" t="s">
        <v>35</v>
      </c>
      <c r="B14" s="17"/>
    </row>
    <row r="15" spans="1:9" x14ac:dyDescent="0.25">
      <c r="A15" s="4" t="s">
        <v>28</v>
      </c>
      <c r="B15" s="4" t="s">
        <v>29</v>
      </c>
      <c r="C15" s="4" t="s">
        <v>30</v>
      </c>
      <c r="D15" s="4" t="s">
        <v>36</v>
      </c>
      <c r="E15" s="4" t="s">
        <v>37</v>
      </c>
    </row>
    <row r="16" spans="1:9" x14ac:dyDescent="0.25">
      <c r="A16" s="4" t="s">
        <v>19</v>
      </c>
      <c r="B16" s="5" t="str">
        <f>"1/1"</f>
        <v>1/1</v>
      </c>
      <c r="C16" s="7">
        <v>2.9000000000000001E-2</v>
      </c>
      <c r="D16" s="8">
        <f>((C16)*(H16)*(I16))/(G16*1)</f>
        <v>3.1791273843455388</v>
      </c>
      <c r="E16" s="8">
        <f>D16/10000</f>
        <v>3.179127384345539E-4</v>
      </c>
      <c r="G16" s="9">
        <f>digestion_page!B17</f>
        <v>0.45610000000000001</v>
      </c>
      <c r="H16" s="9">
        <f>digestion_page!C17</f>
        <v>50</v>
      </c>
      <c r="I16" s="9">
        <f>(LEFT(B16,FIND("/",B16)-1)/RIGHT(B16,LEN(B16)-FIND("/", B16)))</f>
        <v>1</v>
      </c>
    </row>
    <row r="17" spans="1:9" x14ac:dyDescent="0.25">
      <c r="A17" s="4" t="s">
        <v>20</v>
      </c>
      <c r="B17" s="5" t="str">
        <f>"1/1"</f>
        <v>1/1</v>
      </c>
      <c r="C17" s="7">
        <v>2.7E-2</v>
      </c>
      <c r="D17" s="8">
        <f>((C17)*(H17)*(I17))/(G17*1)</f>
        <v>2.9277813923227067</v>
      </c>
      <c r="E17" s="8">
        <f>D17/10000</f>
        <v>2.9277813923227067E-4</v>
      </c>
      <c r="G17" s="9">
        <f>digestion_page!B18</f>
        <v>0.46110000000000001</v>
      </c>
      <c r="H17" s="9">
        <f>digestion_page!C18</f>
        <v>50</v>
      </c>
      <c r="I17" s="9">
        <f>(LEFT(B17,FIND("/",B17)-1)/RIGHT(B17,LEN(B17)-FIND("/", B17)))</f>
        <v>1</v>
      </c>
    </row>
    <row r="19" spans="1:9" x14ac:dyDescent="0.25">
      <c r="A19" s="21" t="s">
        <v>38</v>
      </c>
      <c r="B19" s="21"/>
      <c r="C19" s="22">
        <f>AVERAGE(D16:D17)</f>
        <v>3.0534543883341225</v>
      </c>
    </row>
    <row r="20" spans="1:9" x14ac:dyDescent="0.25">
      <c r="A20" s="18" t="s">
        <v>38</v>
      </c>
      <c r="B20" s="18"/>
      <c r="C20" s="12">
        <f>AVERAGE(E16:E17)</f>
        <v>3.0534543883341226E-4</v>
      </c>
    </row>
    <row r="21" spans="1:9" x14ac:dyDescent="0.25">
      <c r="A21" s="18" t="s">
        <v>39</v>
      </c>
      <c r="B21" s="18"/>
      <c r="C21" s="19" t="s">
        <v>51</v>
      </c>
      <c r="D21" s="19"/>
      <c r="E21" s="19"/>
      <c r="F21" s="19"/>
    </row>
    <row r="23" spans="1:9" x14ac:dyDescent="0.25">
      <c r="A23" s="17" t="s">
        <v>40</v>
      </c>
      <c r="B23" s="17"/>
    </row>
    <row r="24" spans="1:9" x14ac:dyDescent="0.25">
      <c r="A24" s="4" t="s">
        <v>28</v>
      </c>
      <c r="B24" s="4" t="s">
        <v>29</v>
      </c>
      <c r="C24" s="4" t="s">
        <v>30</v>
      </c>
      <c r="D24" s="4" t="s">
        <v>41</v>
      </c>
      <c r="E24" s="4" t="s">
        <v>42</v>
      </c>
    </row>
    <row r="25" spans="1:9" x14ac:dyDescent="0.25">
      <c r="A25" s="4" t="s">
        <v>19</v>
      </c>
      <c r="B25" s="5" t="str">
        <f>"1/1"</f>
        <v>1/1</v>
      </c>
      <c r="C25" s="7">
        <v>3.0000000000000001E-3</v>
      </c>
      <c r="D25" s="8">
        <f>((C25)*(H25)*(I25))/(G25*1)</f>
        <v>0.32887524665643497</v>
      </c>
      <c r="E25" s="8">
        <f>D25/10000</f>
        <v>3.2887524665643497E-5</v>
      </c>
      <c r="G25" s="9">
        <f>digestion_page!B17</f>
        <v>0.45610000000000001</v>
      </c>
      <c r="H25" s="9">
        <f>digestion_page!C17</f>
        <v>50</v>
      </c>
      <c r="I25" s="9">
        <f>(LEFT(B25,FIND("/",B25)-1)/RIGHT(B25,LEN(B25)-FIND("/", B25)))</f>
        <v>1</v>
      </c>
    </row>
    <row r="26" spans="1:9" x14ac:dyDescent="0.25">
      <c r="A26" s="4" t="s">
        <v>20</v>
      </c>
      <c r="B26" s="5" t="str">
        <f>"1/1"</f>
        <v>1/1</v>
      </c>
      <c r="C26" s="7">
        <v>3.0000000000000001E-3</v>
      </c>
      <c r="D26" s="8">
        <f>((C26)*(H26)*(I26))/(G26*1)</f>
        <v>0.32530904359141183</v>
      </c>
      <c r="E26" s="8">
        <f>D26/10000</f>
        <v>3.2530904359141185E-5</v>
      </c>
      <c r="G26" s="9">
        <f>digestion_page!B18</f>
        <v>0.46110000000000001</v>
      </c>
      <c r="H26" s="9">
        <f>digestion_page!C18</f>
        <v>50</v>
      </c>
      <c r="I26" s="9">
        <f>(LEFT(B26,FIND("/",B26)-1)/RIGHT(B26,LEN(B26)-FIND("/", B26)))</f>
        <v>1</v>
      </c>
    </row>
    <row r="28" spans="1:9" x14ac:dyDescent="0.25">
      <c r="A28" s="21" t="s">
        <v>43</v>
      </c>
      <c r="B28" s="21"/>
      <c r="C28" s="22">
        <f>AVERAGE(D25:D26)</f>
        <v>0.32709214512392337</v>
      </c>
    </row>
    <row r="29" spans="1:9" x14ac:dyDescent="0.25">
      <c r="A29" s="18" t="s">
        <v>43</v>
      </c>
      <c r="B29" s="18"/>
      <c r="C29" s="12">
        <f>AVERAGE(E25:E26)</f>
        <v>3.2709214512392341E-5</v>
      </c>
    </row>
    <row r="30" spans="1:9" x14ac:dyDescent="0.25">
      <c r="A30" s="18" t="s">
        <v>44</v>
      </c>
      <c r="B30" s="18"/>
      <c r="C30" s="19" t="s">
        <v>52</v>
      </c>
      <c r="D30" s="19"/>
      <c r="E30" s="19"/>
      <c r="F30" s="19"/>
    </row>
    <row r="32" spans="1:9" x14ac:dyDescent="0.25">
      <c r="A32" s="17" t="s">
        <v>45</v>
      </c>
      <c r="B32" s="17"/>
    </row>
    <row r="33" spans="1:9" x14ac:dyDescent="0.25">
      <c r="A33" s="4" t="s">
        <v>28</v>
      </c>
      <c r="B33" s="4" t="s">
        <v>29</v>
      </c>
      <c r="C33" s="4" t="s">
        <v>30</v>
      </c>
      <c r="D33" s="4" t="s">
        <v>46</v>
      </c>
      <c r="E33" s="4" t="s">
        <v>47</v>
      </c>
    </row>
    <row r="34" spans="1:9" x14ac:dyDescent="0.25">
      <c r="A34" s="4" t="s">
        <v>19</v>
      </c>
      <c r="B34" s="5" t="str">
        <f>"1/1"</f>
        <v>1/1</v>
      </c>
      <c r="C34" s="7">
        <v>3.5000000000000003E-2</v>
      </c>
      <c r="D34" s="8">
        <f>((C34)*(H34)*(I34))/(G34*1)</f>
        <v>3.8368778776584085</v>
      </c>
      <c r="E34" s="8">
        <f>D34/10000</f>
        <v>3.8368778776584086E-4</v>
      </c>
      <c r="G34" s="9">
        <f>digestion_page!B17</f>
        <v>0.45610000000000001</v>
      </c>
      <c r="H34" s="9">
        <f>digestion_page!C17</f>
        <v>50</v>
      </c>
      <c r="I34" s="9">
        <f>(LEFT(B34,FIND("/",B34)-1)/RIGHT(B34,LEN(B34)-FIND("/", B34)))</f>
        <v>1</v>
      </c>
    </row>
    <row r="35" spans="1:9" x14ac:dyDescent="0.25">
      <c r="A35" s="4" t="s">
        <v>20</v>
      </c>
      <c r="B35" s="5" t="str">
        <f>"1/1"</f>
        <v>1/1</v>
      </c>
      <c r="C35" s="7">
        <v>3.2000000000000001E-2</v>
      </c>
      <c r="D35" s="8">
        <f>((C35)*(H35)*(I35))/(G35*1)</f>
        <v>3.4699631316417263</v>
      </c>
      <c r="E35" s="8">
        <f>D35/10000</f>
        <v>3.4699631316417262E-4</v>
      </c>
      <c r="G35" s="9">
        <f>digestion_page!B18</f>
        <v>0.46110000000000001</v>
      </c>
      <c r="H35" s="9">
        <f>digestion_page!C18</f>
        <v>50</v>
      </c>
      <c r="I35" s="9">
        <f>(LEFT(B35,FIND("/",B35)-1)/RIGHT(B35,LEN(B35)-FIND("/", B35)))</f>
        <v>1</v>
      </c>
    </row>
    <row r="37" spans="1:9" x14ac:dyDescent="0.25">
      <c r="A37" s="21" t="s">
        <v>48</v>
      </c>
      <c r="B37" s="21"/>
      <c r="C37" s="22">
        <f>AVERAGE(D34:D35)</f>
        <v>3.6534205046500672</v>
      </c>
    </row>
    <row r="38" spans="1:9" x14ac:dyDescent="0.25">
      <c r="A38" s="18" t="s">
        <v>48</v>
      </c>
      <c r="B38" s="18"/>
      <c r="C38" s="12">
        <f>AVERAGE(E34:E35)</f>
        <v>3.6534205046500674E-4</v>
      </c>
    </row>
    <row r="39" spans="1:9" x14ac:dyDescent="0.25">
      <c r="A39" s="18" t="s">
        <v>49</v>
      </c>
      <c r="B39" s="18"/>
      <c r="C39" s="19" t="s">
        <v>53</v>
      </c>
      <c r="D39" s="19"/>
      <c r="E39" s="19"/>
      <c r="F39" s="19"/>
    </row>
    <row r="41" spans="1:9" x14ac:dyDescent="0.25">
      <c r="B41" s="10" t="s">
        <v>54</v>
      </c>
      <c r="C41" s="20"/>
      <c r="D41" s="20"/>
      <c r="E41" s="20"/>
      <c r="F41" s="20"/>
    </row>
    <row r="42" spans="1:9" x14ac:dyDescent="0.25">
      <c r="C42" s="20"/>
      <c r="D42" s="20"/>
      <c r="E42" s="20"/>
      <c r="F42" s="20"/>
    </row>
    <row r="43" spans="1:9" x14ac:dyDescent="0.25">
      <c r="C43" s="20"/>
      <c r="D43" s="20"/>
      <c r="E43" s="20"/>
      <c r="F43" s="20"/>
    </row>
  </sheetData>
  <mergeCells count="21">
    <mergeCell ref="C41:F43"/>
    <mergeCell ref="A32:B32"/>
    <mergeCell ref="A37:B37"/>
    <mergeCell ref="A38:B38"/>
    <mergeCell ref="A39:B39"/>
    <mergeCell ref="C39:F39"/>
    <mergeCell ref="A23:B23"/>
    <mergeCell ref="A28:B28"/>
    <mergeCell ref="A29:B29"/>
    <mergeCell ref="A30:B30"/>
    <mergeCell ref="C30:F30"/>
    <mergeCell ref="A14:B14"/>
    <mergeCell ref="A19:B19"/>
    <mergeCell ref="A20:B20"/>
    <mergeCell ref="A21:B21"/>
    <mergeCell ref="C21:F21"/>
    <mergeCell ref="A5:B5"/>
    <mergeCell ref="A10:B10"/>
    <mergeCell ref="A11:B11"/>
    <mergeCell ref="A12:B12"/>
    <mergeCell ref="C12:F12"/>
  </mergeCells>
  <conditionalFormatting sqref="C12:F12">
    <cfRule type="containsBlanks" dxfId="11" priority="1">
      <formula>LEN(TRIM(C12))=0</formula>
    </cfRule>
  </conditionalFormatting>
  <conditionalFormatting sqref="C21:F21">
    <cfRule type="containsBlanks" dxfId="10" priority="2">
      <formula>LEN(TRIM(C21))=0</formula>
    </cfRule>
  </conditionalFormatting>
  <conditionalFormatting sqref="C30:F30">
    <cfRule type="containsBlanks" dxfId="9" priority="3">
      <formula>LEN(TRIM(C30))=0</formula>
    </cfRule>
  </conditionalFormatting>
  <conditionalFormatting sqref="C39:F39">
    <cfRule type="containsBlanks" dxfId="8" priority="4">
      <formula>LEN(TRIM(C39))=0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>
      <selection activeCell="G16" sqref="G16"/>
    </sheetView>
  </sheetViews>
  <sheetFormatPr defaultRowHeight="15" x14ac:dyDescent="0.25"/>
  <cols>
    <col min="1" max="1" width="12" bestFit="1" customWidth="1"/>
    <col min="2" max="2" width="12.5703125" bestFit="1" customWidth="1"/>
    <col min="3" max="3" width="12.7109375" customWidth="1"/>
    <col min="4" max="4" width="10.28515625" bestFit="1" customWidth="1"/>
    <col min="5" max="33" width="7.7109375" customWidth="1"/>
  </cols>
  <sheetData>
    <row r="1" spans="1:9" x14ac:dyDescent="0.25">
      <c r="A1" s="1" t="s">
        <v>0</v>
      </c>
      <c r="B1" s="2">
        <v>46225</v>
      </c>
    </row>
    <row r="2" spans="1:9" x14ac:dyDescent="0.25">
      <c r="A2" s="1" t="s">
        <v>1</v>
      </c>
      <c r="B2" s="3" t="s">
        <v>2</v>
      </c>
    </row>
    <row r="5" spans="1:9" x14ac:dyDescent="0.25">
      <c r="A5" s="17" t="s">
        <v>55</v>
      </c>
      <c r="B5" s="17"/>
    </row>
    <row r="6" spans="1:9" x14ac:dyDescent="0.25">
      <c r="A6" s="4" t="s">
        <v>28</v>
      </c>
      <c r="B6" s="4" t="s">
        <v>29</v>
      </c>
      <c r="C6" s="4" t="s">
        <v>30</v>
      </c>
      <c r="D6" s="4" t="s">
        <v>56</v>
      </c>
      <c r="E6" s="4" t="s">
        <v>57</v>
      </c>
    </row>
    <row r="7" spans="1:9" x14ac:dyDescent="0.25">
      <c r="A7" s="4" t="s">
        <v>22</v>
      </c>
      <c r="B7" s="5" t="str">
        <f>"1/1"</f>
        <v>1/1</v>
      </c>
      <c r="C7" s="7">
        <f>AVERAGE(0.129,0.139,0.128,0.132)</f>
        <v>0.13200000000000001</v>
      </c>
      <c r="D7" s="23">
        <f>((C7)*(H7)*(I7))/(G7*1)</f>
        <v>21.639344262295083</v>
      </c>
      <c r="E7" s="8">
        <f>D7/10000</f>
        <v>2.1639344262295085E-3</v>
      </c>
      <c r="G7" s="9">
        <f>digestion_page!B33</f>
        <v>0.1525</v>
      </c>
      <c r="H7" s="9">
        <f>digestion_page!C33</f>
        <v>25</v>
      </c>
      <c r="I7" s="9">
        <f>(LEFT(B7,FIND("/",B7)-1)/RIGHT(B7,LEN(B7)-FIND("/", B7)))</f>
        <v>1</v>
      </c>
    </row>
    <row r="8" spans="1:9" x14ac:dyDescent="0.25">
      <c r="A8" s="4" t="s">
        <v>23</v>
      </c>
      <c r="B8" s="5" t="str">
        <f>"1/1"</f>
        <v>1/1</v>
      </c>
      <c r="C8" s="7">
        <f>AVERAGE(0.492,0.495,0.48,0.489)</f>
        <v>0.48899999999999999</v>
      </c>
      <c r="D8" s="8">
        <f>((C8)*(H8)*(I8))/(G8*1)</f>
        <v>72.038892162639954</v>
      </c>
      <c r="E8" s="8">
        <f>D8/10000</f>
        <v>7.2038892162639952E-3</v>
      </c>
      <c r="G8" s="9">
        <f>digestion_page!B34</f>
        <v>0.16969999999999999</v>
      </c>
      <c r="H8" s="9">
        <f>digestion_page!C34</f>
        <v>25</v>
      </c>
      <c r="I8" s="9">
        <f>(LEFT(B8,FIND("/",B8)-1)/RIGHT(B8,LEN(B8)-FIND("/", B8)))</f>
        <v>1</v>
      </c>
    </row>
    <row r="10" spans="1:9" x14ac:dyDescent="0.25">
      <c r="A10" s="18" t="s">
        <v>58</v>
      </c>
      <c r="B10" s="18"/>
      <c r="C10" s="11">
        <f>AVERAGE(D7:D8)</f>
        <v>46.839118212467518</v>
      </c>
    </row>
    <row r="11" spans="1:9" x14ac:dyDescent="0.25">
      <c r="A11" s="18" t="s">
        <v>58</v>
      </c>
      <c r="B11" s="18"/>
      <c r="C11" s="12">
        <f>AVERAGE(E7:E8)</f>
        <v>4.6839118212467518E-3</v>
      </c>
    </row>
    <row r="12" spans="1:9" x14ac:dyDescent="0.25">
      <c r="A12" s="18" t="s">
        <v>59</v>
      </c>
      <c r="B12" s="18"/>
      <c r="C12" s="19"/>
      <c r="D12" s="19"/>
      <c r="E12" s="19"/>
      <c r="F12" s="19"/>
    </row>
    <row r="14" spans="1:9" x14ac:dyDescent="0.25">
      <c r="A14" s="17" t="s">
        <v>60</v>
      </c>
      <c r="B14" s="17"/>
    </row>
    <row r="15" spans="1:9" x14ac:dyDescent="0.25">
      <c r="A15" s="4" t="s">
        <v>28</v>
      </c>
      <c r="B15" s="4" t="s">
        <v>29</v>
      </c>
      <c r="C15" s="4" t="s">
        <v>30</v>
      </c>
      <c r="D15" s="4" t="s">
        <v>61</v>
      </c>
      <c r="E15" s="4" t="s">
        <v>62</v>
      </c>
    </row>
    <row r="16" spans="1:9" x14ac:dyDescent="0.25">
      <c r="A16" s="4" t="s">
        <v>22</v>
      </c>
      <c r="B16" s="5" t="str">
        <f>"1/1"</f>
        <v>1/1</v>
      </c>
      <c r="C16" s="7">
        <f>AVERAGE(0.017,0.019,0.018,0.018)</f>
        <v>1.8000000000000002E-2</v>
      </c>
      <c r="D16" s="8">
        <f>((C16)*(H16)*(I16))/(G16*1)</f>
        <v>2.9508196721311482</v>
      </c>
      <c r="E16" s="8">
        <f>D16/10000</f>
        <v>2.9508196721311482E-4</v>
      </c>
      <c r="G16" s="9">
        <f>digestion_page!B33</f>
        <v>0.1525</v>
      </c>
      <c r="H16" s="9">
        <f>digestion_page!C33</f>
        <v>25</v>
      </c>
      <c r="I16" s="9">
        <f>(LEFT(B16,FIND("/",B16)-1)/RIGHT(B16,LEN(B16)-FIND("/", B16)))</f>
        <v>1</v>
      </c>
    </row>
    <row r="17" spans="1:9" x14ac:dyDescent="0.25">
      <c r="A17" s="4" t="s">
        <v>23</v>
      </c>
      <c r="B17" s="5" t="str">
        <f>"1/1"</f>
        <v>1/1</v>
      </c>
      <c r="C17" s="7">
        <f>AVERAGE(0.015,0.017,0.016,0.018)</f>
        <v>1.6500000000000001E-2</v>
      </c>
      <c r="D17" s="8">
        <f>((C17)*(H17)*(I17))/(G17*1)</f>
        <v>2.4307601649970541</v>
      </c>
      <c r="E17" s="8">
        <f>D17/10000</f>
        <v>2.4307601649970541E-4</v>
      </c>
      <c r="G17" s="9">
        <f>digestion_page!B34</f>
        <v>0.16969999999999999</v>
      </c>
      <c r="H17" s="9">
        <f>digestion_page!C34</f>
        <v>25</v>
      </c>
      <c r="I17" s="9">
        <f>(LEFT(B17,FIND("/",B17)-1)/RIGHT(B17,LEN(B17)-FIND("/", B17)))</f>
        <v>1</v>
      </c>
    </row>
    <row r="19" spans="1:9" x14ac:dyDescent="0.25">
      <c r="A19" s="21" t="s">
        <v>63</v>
      </c>
      <c r="B19" s="21"/>
      <c r="C19" s="22">
        <f>AVERAGE(D16:D17)</f>
        <v>2.6907899185641009</v>
      </c>
    </row>
    <row r="20" spans="1:9" x14ac:dyDescent="0.25">
      <c r="A20" s="18" t="s">
        <v>63</v>
      </c>
      <c r="B20" s="18"/>
      <c r="C20" s="12">
        <f>AVERAGE(E16:E17)</f>
        <v>2.6907899185641012E-4</v>
      </c>
    </row>
    <row r="21" spans="1:9" x14ac:dyDescent="0.25">
      <c r="A21" s="18" t="s">
        <v>64</v>
      </c>
      <c r="B21" s="18"/>
      <c r="C21" s="19"/>
      <c r="D21" s="19"/>
      <c r="E21" s="19"/>
      <c r="F21" s="19"/>
    </row>
    <row r="23" spans="1:9" x14ac:dyDescent="0.25">
      <c r="A23" s="17" t="s">
        <v>65</v>
      </c>
      <c r="B23" s="17"/>
    </row>
    <row r="24" spans="1:9" x14ac:dyDescent="0.25">
      <c r="A24" s="4" t="s">
        <v>28</v>
      </c>
      <c r="B24" s="4" t="s">
        <v>29</v>
      </c>
      <c r="C24" s="4" t="s">
        <v>30</v>
      </c>
      <c r="D24" s="4" t="s">
        <v>66</v>
      </c>
      <c r="E24" s="4" t="s">
        <v>67</v>
      </c>
    </row>
    <row r="25" spans="1:9" x14ac:dyDescent="0.25">
      <c r="A25" s="4" t="s">
        <v>22</v>
      </c>
      <c r="B25" s="5" t="str">
        <f>"1/1"</f>
        <v>1/1</v>
      </c>
      <c r="C25" s="7">
        <v>5.0000000000000001E-3</v>
      </c>
      <c r="D25" s="8">
        <f>((C25)*(H25)*(I25))/(G25*1)</f>
        <v>0.81967213114754101</v>
      </c>
      <c r="E25" s="8">
        <f>D25/10000</f>
        <v>8.1967213114754098E-5</v>
      </c>
      <c r="G25" s="9">
        <f>digestion_page!B33</f>
        <v>0.1525</v>
      </c>
      <c r="H25" s="9">
        <f>digestion_page!C33</f>
        <v>25</v>
      </c>
      <c r="I25" s="9">
        <f>(LEFT(B25,FIND("/",B25)-1)/RIGHT(B25,LEN(B25)-FIND("/", B25)))</f>
        <v>1</v>
      </c>
    </row>
    <row r="26" spans="1:9" x14ac:dyDescent="0.25">
      <c r="A26" s="4" t="s">
        <v>23</v>
      </c>
      <c r="B26" s="5" t="str">
        <f>"1/1"</f>
        <v>1/1</v>
      </c>
      <c r="C26" s="7">
        <v>5.0000000000000001E-3</v>
      </c>
      <c r="D26" s="8">
        <f>((C26)*(H26)*(I26))/(G26*1)</f>
        <v>0.73659398939304654</v>
      </c>
      <c r="E26" s="8">
        <f>D26/10000</f>
        <v>7.3659398939304654E-5</v>
      </c>
      <c r="G26" s="9">
        <f>digestion_page!B34</f>
        <v>0.16969999999999999</v>
      </c>
      <c r="H26" s="9">
        <f>digestion_page!C34</f>
        <v>25</v>
      </c>
      <c r="I26" s="9">
        <f>(LEFT(B26,FIND("/",B26)-1)/RIGHT(B26,LEN(B26)-FIND("/", B26)))</f>
        <v>1</v>
      </c>
    </row>
    <row r="28" spans="1:9" x14ac:dyDescent="0.25">
      <c r="A28" s="21" t="s">
        <v>68</v>
      </c>
      <c r="B28" s="21"/>
      <c r="C28" s="22">
        <f>AVERAGE(D25:D26)</f>
        <v>0.77813306027029383</v>
      </c>
    </row>
    <row r="29" spans="1:9" x14ac:dyDescent="0.25">
      <c r="A29" s="18" t="s">
        <v>68</v>
      </c>
      <c r="B29" s="18"/>
      <c r="C29" s="12">
        <f>AVERAGE(E25:E26)</f>
        <v>7.7813306027029383E-5</v>
      </c>
    </row>
    <row r="30" spans="1:9" x14ac:dyDescent="0.25">
      <c r="A30" s="18" t="s">
        <v>69</v>
      </c>
      <c r="B30" s="18"/>
      <c r="C30" s="19"/>
      <c r="D30" s="19"/>
      <c r="E30" s="19"/>
      <c r="F30" s="19"/>
    </row>
    <row r="32" spans="1:9" x14ac:dyDescent="0.25">
      <c r="A32" s="17" t="s">
        <v>70</v>
      </c>
      <c r="B32" s="17"/>
    </row>
    <row r="33" spans="1:9" x14ac:dyDescent="0.25">
      <c r="A33" s="4" t="s">
        <v>28</v>
      </c>
      <c r="B33" s="4" t="s">
        <v>29</v>
      </c>
      <c r="C33" s="4" t="s">
        <v>30</v>
      </c>
      <c r="D33" s="4" t="s">
        <v>71</v>
      </c>
      <c r="E33" s="4" t="s">
        <v>72</v>
      </c>
    </row>
    <row r="34" spans="1:9" x14ac:dyDescent="0.25">
      <c r="A34" s="4" t="s">
        <v>22</v>
      </c>
      <c r="B34" s="5" t="str">
        <f>"1/1"</f>
        <v>1/1</v>
      </c>
      <c r="C34" s="7">
        <f>AVERAGE(0.011,0.01,0.011,0.012)</f>
        <v>1.0999999999999999E-2</v>
      </c>
      <c r="D34" s="8">
        <f>((C34)*(H34)*(I34))/(G34*1)</f>
        <v>1.8032786885245899</v>
      </c>
      <c r="E34" s="8">
        <f>D34/10000</f>
        <v>1.8032786885245898E-4</v>
      </c>
      <c r="G34" s="9">
        <f>digestion_page!B33</f>
        <v>0.1525</v>
      </c>
      <c r="H34" s="9">
        <f>digestion_page!C33</f>
        <v>25</v>
      </c>
      <c r="I34" s="9">
        <f>(LEFT(B34,FIND("/",B34)-1)/RIGHT(B34,LEN(B34)-FIND("/", B34)))</f>
        <v>1</v>
      </c>
    </row>
    <row r="35" spans="1:9" x14ac:dyDescent="0.25">
      <c r="A35" s="4" t="s">
        <v>23</v>
      </c>
      <c r="B35" s="5" t="str">
        <f>"1/1"</f>
        <v>1/1</v>
      </c>
      <c r="C35" s="7">
        <f>AVERAGE(0.013,0.012,0.013,0.013)</f>
        <v>1.2749999999999999E-2</v>
      </c>
      <c r="D35" s="8">
        <f>((C35)*(H35)*(I35))/(G35*1)</f>
        <v>1.8783146729522686</v>
      </c>
      <c r="E35" s="8">
        <f>D35/10000</f>
        <v>1.8783146729522686E-4</v>
      </c>
      <c r="G35" s="9">
        <f>digestion_page!B34</f>
        <v>0.16969999999999999</v>
      </c>
      <c r="H35" s="9">
        <f>digestion_page!C34</f>
        <v>25</v>
      </c>
      <c r="I35" s="9">
        <f>(LEFT(B35,FIND("/",B35)-1)/RIGHT(B35,LEN(B35)-FIND("/", B35)))</f>
        <v>1</v>
      </c>
    </row>
    <row r="37" spans="1:9" x14ac:dyDescent="0.25">
      <c r="A37" s="21" t="s">
        <v>73</v>
      </c>
      <c r="B37" s="21"/>
      <c r="C37" s="22">
        <f>AVERAGE(D34:D35)</f>
        <v>1.8407966807384293</v>
      </c>
    </row>
    <row r="38" spans="1:9" x14ac:dyDescent="0.25">
      <c r="A38" s="18" t="s">
        <v>73</v>
      </c>
      <c r="B38" s="18"/>
      <c r="C38" s="12">
        <f>AVERAGE(E34:E35)</f>
        <v>1.8407966807384291E-4</v>
      </c>
    </row>
    <row r="39" spans="1:9" x14ac:dyDescent="0.25">
      <c r="A39" s="18" t="s">
        <v>74</v>
      </c>
      <c r="B39" s="18"/>
      <c r="C39" s="19"/>
      <c r="D39" s="19"/>
      <c r="E39" s="19"/>
      <c r="F39" s="19"/>
    </row>
    <row r="41" spans="1:9" x14ac:dyDescent="0.25">
      <c r="B41" s="10" t="s">
        <v>54</v>
      </c>
      <c r="C41" s="20"/>
      <c r="D41" s="20"/>
      <c r="E41" s="20"/>
      <c r="F41" s="20"/>
    </row>
    <row r="42" spans="1:9" x14ac:dyDescent="0.25">
      <c r="C42" s="20"/>
      <c r="D42" s="20"/>
      <c r="E42" s="20"/>
      <c r="F42" s="20"/>
    </row>
    <row r="43" spans="1:9" x14ac:dyDescent="0.25">
      <c r="C43" s="20"/>
      <c r="D43" s="20"/>
      <c r="E43" s="20"/>
      <c r="F43" s="20"/>
    </row>
  </sheetData>
  <mergeCells count="21">
    <mergeCell ref="C41:F43"/>
    <mergeCell ref="A32:B32"/>
    <mergeCell ref="A37:B37"/>
    <mergeCell ref="A38:B38"/>
    <mergeCell ref="A39:B39"/>
    <mergeCell ref="C39:F39"/>
    <mergeCell ref="A23:B23"/>
    <mergeCell ref="A28:B28"/>
    <mergeCell ref="A29:B29"/>
    <mergeCell ref="A30:B30"/>
    <mergeCell ref="C30:F30"/>
    <mergeCell ref="A14:B14"/>
    <mergeCell ref="A19:B19"/>
    <mergeCell ref="A20:B20"/>
    <mergeCell ref="A21:B21"/>
    <mergeCell ref="C21:F21"/>
    <mergeCell ref="A5:B5"/>
    <mergeCell ref="A10:B10"/>
    <mergeCell ref="A11:B11"/>
    <mergeCell ref="A12:B12"/>
    <mergeCell ref="C12:F12"/>
  </mergeCells>
  <conditionalFormatting sqref="C12:F12">
    <cfRule type="containsBlanks" dxfId="7" priority="1">
      <formula>LEN(TRIM(C12))=0</formula>
    </cfRule>
  </conditionalFormatting>
  <conditionalFormatting sqref="C21:F21">
    <cfRule type="containsBlanks" dxfId="6" priority="2">
      <formula>LEN(TRIM(C21))=0</formula>
    </cfRule>
  </conditionalFormatting>
  <conditionalFormatting sqref="C30:F30">
    <cfRule type="containsBlanks" dxfId="5" priority="3">
      <formula>LEN(TRIM(C30))=0</formula>
    </cfRule>
  </conditionalFormatting>
  <conditionalFormatting sqref="C39:F39">
    <cfRule type="containsBlanks" dxfId="4" priority="4">
      <formula>LEN(TRIM(C39))=0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tabSelected="1" workbookViewId="0">
      <selection activeCell="M13" sqref="M13"/>
    </sheetView>
  </sheetViews>
  <sheetFormatPr defaultRowHeight="15" x14ac:dyDescent="0.25"/>
  <cols>
    <col min="1" max="1" width="12" bestFit="1" customWidth="1"/>
    <col min="2" max="2" width="12.5703125" bestFit="1" customWidth="1"/>
    <col min="3" max="3" width="12.7109375" customWidth="1"/>
    <col min="4" max="4" width="10.28515625" bestFit="1" customWidth="1"/>
    <col min="5" max="33" width="7.7109375" customWidth="1"/>
  </cols>
  <sheetData>
    <row r="1" spans="1:9" x14ac:dyDescent="0.25">
      <c r="A1" s="1" t="s">
        <v>0</v>
      </c>
      <c r="B1" s="2">
        <v>46225</v>
      </c>
    </row>
    <row r="2" spans="1:9" x14ac:dyDescent="0.25">
      <c r="A2" s="1" t="s">
        <v>1</v>
      </c>
      <c r="B2" s="3" t="s">
        <v>2</v>
      </c>
    </row>
    <row r="5" spans="1:9" x14ac:dyDescent="0.25">
      <c r="A5" s="17" t="s">
        <v>75</v>
      </c>
      <c r="B5" s="17"/>
    </row>
    <row r="6" spans="1:9" x14ac:dyDescent="0.25">
      <c r="A6" s="4" t="s">
        <v>28</v>
      </c>
      <c r="B6" s="4" t="s">
        <v>29</v>
      </c>
      <c r="C6" s="4" t="s">
        <v>30</v>
      </c>
      <c r="D6" s="4" t="s">
        <v>76</v>
      </c>
      <c r="E6" s="4" t="s">
        <v>77</v>
      </c>
    </row>
    <row r="7" spans="1:9" x14ac:dyDescent="0.25">
      <c r="A7" s="4" t="s">
        <v>25</v>
      </c>
      <c r="B7" s="5" t="str">
        <f>"1/1"</f>
        <v>1/1</v>
      </c>
      <c r="C7" s="24">
        <f>AVERAGE(1.991,1.967,1.907,1.926)</f>
        <v>1.9477500000000001</v>
      </c>
      <c r="D7" s="23">
        <f>((C7)*(H7)*(I7))/(G7*1)</f>
        <v>121.67353823088456</v>
      </c>
      <c r="E7" s="8">
        <f>D7/10000</f>
        <v>1.2167353823088456E-2</v>
      </c>
      <c r="G7" s="9">
        <f>digestion_page!B49</f>
        <v>0.4002</v>
      </c>
      <c r="H7" s="9">
        <f>digestion_page!C49</f>
        <v>25</v>
      </c>
      <c r="I7" s="9">
        <f>(LEFT(B7,FIND("/",B7)-1)/RIGHT(B7,LEN(B7)-FIND("/", B7)))</f>
        <v>1</v>
      </c>
    </row>
    <row r="8" spans="1:9" x14ac:dyDescent="0.25">
      <c r="A8" s="4" t="s">
        <v>26</v>
      </c>
      <c r="B8" s="5" t="str">
        <f>"1/1"</f>
        <v>1/1</v>
      </c>
      <c r="C8" s="24">
        <f>AVERAGE(0.518,0.514,0.496,0.509)</f>
        <v>0.50924999999999998</v>
      </c>
      <c r="D8" s="23">
        <f>((C8)*(H8)*(I8))/(G8*1)</f>
        <v>31.693427931292007</v>
      </c>
      <c r="E8" s="8">
        <f>D8/10000</f>
        <v>3.1693427931292007E-3</v>
      </c>
      <c r="G8" s="9">
        <f>digestion_page!B50</f>
        <v>0.4017</v>
      </c>
      <c r="H8" s="9">
        <f>digestion_page!C50</f>
        <v>25</v>
      </c>
      <c r="I8" s="9">
        <f>(LEFT(B8,FIND("/",B8)-1)/RIGHT(B8,LEN(B8)-FIND("/", B8)))</f>
        <v>1</v>
      </c>
    </row>
    <row r="10" spans="1:9" x14ac:dyDescent="0.25">
      <c r="A10" s="18" t="s">
        <v>78</v>
      </c>
      <c r="B10" s="18"/>
      <c r="C10" s="11">
        <f>AVERAGE(D7:D8)</f>
        <v>76.683483081088283</v>
      </c>
    </row>
    <row r="11" spans="1:9" x14ac:dyDescent="0.25">
      <c r="A11" s="18" t="s">
        <v>78</v>
      </c>
      <c r="B11" s="18"/>
      <c r="C11" s="12">
        <f>AVERAGE(E7:E8)</f>
        <v>7.6683483081088286E-3</v>
      </c>
    </row>
    <row r="12" spans="1:9" x14ac:dyDescent="0.25">
      <c r="A12" s="18" t="s">
        <v>79</v>
      </c>
      <c r="B12" s="18"/>
      <c r="C12" s="19"/>
      <c r="D12" s="19"/>
      <c r="E12" s="19"/>
      <c r="F12" s="19"/>
    </row>
    <row r="14" spans="1:9" x14ac:dyDescent="0.25">
      <c r="A14" s="17" t="s">
        <v>80</v>
      </c>
      <c r="B14" s="17"/>
    </row>
    <row r="15" spans="1:9" x14ac:dyDescent="0.25">
      <c r="A15" s="4" t="s">
        <v>28</v>
      </c>
      <c r="B15" s="4" t="s">
        <v>29</v>
      </c>
      <c r="C15" s="4" t="s">
        <v>30</v>
      </c>
      <c r="D15" s="4" t="s">
        <v>81</v>
      </c>
      <c r="E15" s="4" t="s">
        <v>82</v>
      </c>
    </row>
    <row r="16" spans="1:9" x14ac:dyDescent="0.25">
      <c r="A16" s="4" t="s">
        <v>25</v>
      </c>
      <c r="B16" s="5" t="str">
        <f>"1/1"</f>
        <v>1/1</v>
      </c>
      <c r="C16" s="24">
        <f>AVERAGE(1.013,1.013,1.027,1.043)</f>
        <v>1.024</v>
      </c>
      <c r="D16" s="23">
        <f>((C16)*(H16)*(I16))/(G16*1)</f>
        <v>63.968015992003998</v>
      </c>
      <c r="E16" s="8">
        <f>D16/10000</f>
        <v>6.3968015992003999E-3</v>
      </c>
      <c r="G16" s="9">
        <f>digestion_page!B49</f>
        <v>0.4002</v>
      </c>
      <c r="H16" s="9">
        <f>digestion_page!C49</f>
        <v>25</v>
      </c>
      <c r="I16" s="9">
        <f>(LEFT(B16,FIND("/",B16)-1)/RIGHT(B16,LEN(B16)-FIND("/", B16)))</f>
        <v>1</v>
      </c>
    </row>
    <row r="17" spans="1:9" x14ac:dyDescent="0.25">
      <c r="A17" s="4" t="s">
        <v>26</v>
      </c>
      <c r="B17" s="5" t="str">
        <f>"1/1"</f>
        <v>1/1</v>
      </c>
      <c r="C17" s="24">
        <f>AVERAGE(0.151,0.154,0.154,0.159)</f>
        <v>0.1545</v>
      </c>
      <c r="D17" s="23">
        <f>((C17)*(H17)*(I17))/(G17*1)</f>
        <v>9.615384615384615</v>
      </c>
      <c r="E17" s="8">
        <f>D17/10000</f>
        <v>9.6153846153846148E-4</v>
      </c>
      <c r="G17" s="9">
        <f>digestion_page!B50</f>
        <v>0.4017</v>
      </c>
      <c r="H17" s="9">
        <f>digestion_page!C50</f>
        <v>25</v>
      </c>
      <c r="I17" s="9">
        <f>(LEFT(B17,FIND("/",B17)-1)/RIGHT(B17,LEN(B17)-FIND("/", B17)))</f>
        <v>1</v>
      </c>
    </row>
    <row r="19" spans="1:9" x14ac:dyDescent="0.25">
      <c r="A19" s="18" t="s">
        <v>83</v>
      </c>
      <c r="B19" s="18"/>
      <c r="C19" s="11">
        <f>AVERAGE(D16:D17)</f>
        <v>36.791700303694306</v>
      </c>
    </row>
    <row r="20" spans="1:9" x14ac:dyDescent="0.25">
      <c r="A20" s="18" t="s">
        <v>83</v>
      </c>
      <c r="B20" s="18"/>
      <c r="C20" s="12">
        <f>AVERAGE(E16:E17)</f>
        <v>3.6791700303694308E-3</v>
      </c>
    </row>
    <row r="21" spans="1:9" x14ac:dyDescent="0.25">
      <c r="A21" s="18" t="s">
        <v>84</v>
      </c>
      <c r="B21" s="18"/>
      <c r="C21" s="19"/>
      <c r="D21" s="19"/>
      <c r="E21" s="19"/>
      <c r="F21" s="19"/>
    </row>
    <row r="23" spans="1:9" x14ac:dyDescent="0.25">
      <c r="A23" s="17" t="s">
        <v>85</v>
      </c>
      <c r="B23" s="17"/>
    </row>
    <row r="24" spans="1:9" x14ac:dyDescent="0.25">
      <c r="A24" s="4" t="s">
        <v>28</v>
      </c>
      <c r="B24" s="4" t="s">
        <v>29</v>
      </c>
      <c r="C24" s="4" t="s">
        <v>30</v>
      </c>
      <c r="D24" s="4" t="s">
        <v>86</v>
      </c>
      <c r="E24" s="4" t="s">
        <v>87</v>
      </c>
    </row>
    <row r="25" spans="1:9" x14ac:dyDescent="0.25">
      <c r="A25" s="4" t="s">
        <v>25</v>
      </c>
      <c r="B25" s="5" t="str">
        <f>"1/1"</f>
        <v>1/1</v>
      </c>
      <c r="C25" s="7">
        <f>AVERAGE(0,0.004,0.002)</f>
        <v>2E-3</v>
      </c>
      <c r="D25" s="8">
        <f>((C25)*(H25)*(I25))/(G25*1)</f>
        <v>0.12493753123438281</v>
      </c>
      <c r="E25" s="8">
        <f>D25/10000</f>
        <v>1.2493753123438281E-5</v>
      </c>
      <c r="G25" s="9">
        <f>digestion_page!B49</f>
        <v>0.4002</v>
      </c>
      <c r="H25" s="9">
        <f>digestion_page!C49</f>
        <v>25</v>
      </c>
      <c r="I25" s="9">
        <f>(LEFT(B25,FIND("/",B25)-1)/RIGHT(B25,LEN(B25)-FIND("/", B25)))</f>
        <v>1</v>
      </c>
    </row>
    <row r="26" spans="1:9" x14ac:dyDescent="0.25">
      <c r="A26" s="4" t="s">
        <v>26</v>
      </c>
      <c r="B26" s="5" t="str">
        <f>"1/1"</f>
        <v>1/1</v>
      </c>
      <c r="C26" s="7">
        <f>AVERAGE(0,0.004,0.001)</f>
        <v>1.6666666666666668E-3</v>
      </c>
      <c r="D26" s="8">
        <f>((C26)*(H26)*(I26))/(G26*1)</f>
        <v>0.1037258318811717</v>
      </c>
      <c r="E26" s="8">
        <f>D26/10000</f>
        <v>1.0372583188117169E-5</v>
      </c>
      <c r="G26" s="9">
        <f>digestion_page!B50</f>
        <v>0.4017</v>
      </c>
      <c r="H26" s="9">
        <f>digestion_page!C50</f>
        <v>25</v>
      </c>
      <c r="I26" s="9">
        <f>(LEFT(B26,FIND("/",B26)-1)/RIGHT(B26,LEN(B26)-FIND("/", B26)))</f>
        <v>1</v>
      </c>
    </row>
    <row r="28" spans="1:9" x14ac:dyDescent="0.25">
      <c r="A28" s="21" t="s">
        <v>88</v>
      </c>
      <c r="B28" s="21"/>
      <c r="C28" s="22">
        <f>AVERAGE(D25:D26)</f>
        <v>0.11433168155777726</v>
      </c>
    </row>
    <row r="29" spans="1:9" x14ac:dyDescent="0.25">
      <c r="A29" s="18" t="s">
        <v>88</v>
      </c>
      <c r="B29" s="18"/>
      <c r="C29" s="12">
        <f>AVERAGE(E25:E26)</f>
        <v>1.1433168155777724E-5</v>
      </c>
    </row>
    <row r="30" spans="1:9" x14ac:dyDescent="0.25">
      <c r="A30" s="18" t="s">
        <v>89</v>
      </c>
      <c r="B30" s="18"/>
      <c r="C30" s="19"/>
      <c r="D30" s="19"/>
      <c r="E30" s="19"/>
      <c r="F30" s="19"/>
    </row>
    <row r="32" spans="1:9" x14ac:dyDescent="0.25">
      <c r="A32" s="17" t="s">
        <v>90</v>
      </c>
      <c r="B32" s="17"/>
    </row>
    <row r="33" spans="1:9" x14ac:dyDescent="0.25">
      <c r="A33" s="4" t="s">
        <v>28</v>
      </c>
      <c r="B33" s="4" t="s">
        <v>29</v>
      </c>
      <c r="C33" s="4" t="s">
        <v>30</v>
      </c>
      <c r="D33" s="4" t="s">
        <v>91</v>
      </c>
      <c r="E33" s="4" t="s">
        <v>92</v>
      </c>
    </row>
    <row r="34" spans="1:9" x14ac:dyDescent="0.25">
      <c r="A34" s="4" t="s">
        <v>25</v>
      </c>
      <c r="B34" s="5" t="str">
        <f>"1/1"</f>
        <v>1/1</v>
      </c>
      <c r="C34" s="7">
        <f>AVERAGE(0.177,0.176,0.176,0.179)</f>
        <v>0.17699999999999999</v>
      </c>
      <c r="D34" s="23">
        <f>((C34)*(H34)*(I34))/(G34*1)</f>
        <v>11.056971514242878</v>
      </c>
      <c r="E34" s="8">
        <f>D34/10000</f>
        <v>1.1056971514242879E-3</v>
      </c>
      <c r="G34" s="9">
        <f>digestion_page!B49</f>
        <v>0.4002</v>
      </c>
      <c r="H34" s="9">
        <f>digestion_page!C49</f>
        <v>25</v>
      </c>
      <c r="I34" s="9">
        <f>(LEFT(B34,FIND("/",B34)-1)/RIGHT(B34,LEN(B34)-FIND("/", B34)))</f>
        <v>1</v>
      </c>
    </row>
    <row r="35" spans="1:9" x14ac:dyDescent="0.25">
      <c r="A35" s="4" t="s">
        <v>26</v>
      </c>
      <c r="B35" s="5" t="str">
        <f>"1/1"</f>
        <v>1/1</v>
      </c>
      <c r="C35" s="7">
        <f>AVERAGE(0.035,0.033,0.035,0.036)</f>
        <v>3.4750000000000003E-2</v>
      </c>
      <c r="D35" s="23">
        <f>((C35)*(H35)*(I35))/(G35*1)</f>
        <v>2.1626835947224299</v>
      </c>
      <c r="E35" s="8">
        <f>D35/10000</f>
        <v>2.16268359472243E-4</v>
      </c>
      <c r="G35" s="9">
        <f>digestion_page!B50</f>
        <v>0.4017</v>
      </c>
      <c r="H35" s="9">
        <f>digestion_page!C50</f>
        <v>25</v>
      </c>
      <c r="I35" s="9">
        <f>(LEFT(B35,FIND("/",B35)-1)/RIGHT(B35,LEN(B35)-FIND("/", B35)))</f>
        <v>1</v>
      </c>
    </row>
    <row r="37" spans="1:9" x14ac:dyDescent="0.25">
      <c r="A37" s="18" t="s">
        <v>93</v>
      </c>
      <c r="B37" s="18"/>
      <c r="C37" s="11">
        <f>AVERAGE(D34:D35)</f>
        <v>6.6098275544826546</v>
      </c>
    </row>
    <row r="38" spans="1:9" x14ac:dyDescent="0.25">
      <c r="A38" s="18" t="s">
        <v>93</v>
      </c>
      <c r="B38" s="18"/>
      <c r="C38" s="12">
        <f>AVERAGE(E34:E35)</f>
        <v>6.6098275544826542E-4</v>
      </c>
    </row>
    <row r="39" spans="1:9" x14ac:dyDescent="0.25">
      <c r="A39" s="18" t="s">
        <v>94</v>
      </c>
      <c r="B39" s="18"/>
      <c r="C39" s="19"/>
      <c r="D39" s="19"/>
      <c r="E39" s="19"/>
      <c r="F39" s="19"/>
    </row>
    <row r="41" spans="1:9" x14ac:dyDescent="0.25">
      <c r="B41" s="10" t="s">
        <v>54</v>
      </c>
      <c r="C41" s="20"/>
      <c r="D41" s="20"/>
      <c r="E41" s="20"/>
      <c r="F41" s="20"/>
    </row>
    <row r="42" spans="1:9" x14ac:dyDescent="0.25">
      <c r="C42" s="20"/>
      <c r="D42" s="20"/>
      <c r="E42" s="20"/>
      <c r="F42" s="20"/>
    </row>
    <row r="43" spans="1:9" x14ac:dyDescent="0.25">
      <c r="C43" s="20"/>
      <c r="D43" s="20"/>
      <c r="E43" s="20"/>
      <c r="F43" s="20"/>
    </row>
  </sheetData>
  <mergeCells count="21">
    <mergeCell ref="C41:F43"/>
    <mergeCell ref="A32:B32"/>
    <mergeCell ref="A37:B37"/>
    <mergeCell ref="A38:B38"/>
    <mergeCell ref="A39:B39"/>
    <mergeCell ref="C39:F39"/>
    <mergeCell ref="A23:B23"/>
    <mergeCell ref="A28:B28"/>
    <mergeCell ref="A29:B29"/>
    <mergeCell ref="A30:B30"/>
    <mergeCell ref="C30:F30"/>
    <mergeCell ref="A14:B14"/>
    <mergeCell ref="A19:B19"/>
    <mergeCell ref="A20:B20"/>
    <mergeCell ref="A21:B21"/>
    <mergeCell ref="C21:F21"/>
    <mergeCell ref="A5:B5"/>
    <mergeCell ref="A10:B10"/>
    <mergeCell ref="A11:B11"/>
    <mergeCell ref="A12:B12"/>
    <mergeCell ref="C12:F12"/>
  </mergeCells>
  <conditionalFormatting sqref="C12:F12">
    <cfRule type="containsBlanks" dxfId="3" priority="1">
      <formula>LEN(TRIM(C12))=0</formula>
    </cfRule>
  </conditionalFormatting>
  <conditionalFormatting sqref="C21:F21">
    <cfRule type="containsBlanks" dxfId="2" priority="2">
      <formula>LEN(TRIM(C21))=0</formula>
    </cfRule>
  </conditionalFormatting>
  <conditionalFormatting sqref="C30:F30">
    <cfRule type="containsBlanks" dxfId="1" priority="3">
      <formula>LEN(TRIM(C30))=0</formula>
    </cfRule>
  </conditionalFormatting>
  <conditionalFormatting sqref="C39:F39">
    <cfRule type="containsBlanks" dxfId="0" priority="4">
      <formula>LEN(TRIM(C39))=0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3" t="s">
        <v>95</v>
      </c>
    </row>
    <row r="3" spans="1:1" x14ac:dyDescent="0.25">
      <c r="A3" s="13" t="s">
        <v>96</v>
      </c>
    </row>
    <row r="5" spans="1:1" x14ac:dyDescent="0.25">
      <c r="A5" s="1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digestion_page</vt:lpstr>
      <vt:lpstr>200128352</vt:lpstr>
      <vt:lpstr>200128353</vt:lpstr>
      <vt:lpstr>200128354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2026-07-22T17:49:02Z</dcterms:created>
  <dcterms:modified xsi:type="dcterms:W3CDTF">2026-07-22T18:26:28Z</dcterms:modified>
</cp:coreProperties>
</file>