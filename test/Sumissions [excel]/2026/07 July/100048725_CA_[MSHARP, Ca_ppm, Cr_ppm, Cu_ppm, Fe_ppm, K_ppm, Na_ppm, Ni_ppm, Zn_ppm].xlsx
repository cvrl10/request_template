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missions [excel]/2026/07 July/"/>
    </mc:Choice>
  </mc:AlternateContent>
  <xr:revisionPtr revIDLastSave="253" documentId="11_3E21DE37A48B32FECF50A97BE25D374308DDE3F8" xr6:coauthVersionLast="47" xr6:coauthVersionMax="47" xr10:uidLastSave="{79510654-C1CB-4287-95E9-3C1774A02C56}"/>
  <bookViews>
    <workbookView xWindow="28680" yWindow="-1830" windowWidth="29040" windowHeight="15720" activeTab="4" xr2:uid="{00000000-000D-0000-FFFF-FFFF00000000}"/>
  </bookViews>
  <sheets>
    <sheet name="digestion_page" sheetId="1" r:id="rId1"/>
    <sheet name="200128458" sheetId="2" r:id="rId2"/>
    <sheet name="200128459" sheetId="3" r:id="rId3"/>
    <sheet name="200128460" sheetId="4" r:id="rId4"/>
    <sheet name="200128461" sheetId="5" r:id="rId5"/>
    <sheet name="formula_page" sheetId="6" r:id="rId6"/>
  </sheets>
  <definedNames>
    <definedName name="_xlnm.Print_Area" localSheetId="1">'200128458'!$A$1:$H$87</definedName>
    <definedName name="_xlnm.Print_Area" localSheetId="2">'200128459'!$A$1:$G$87</definedName>
    <definedName name="_xlnm.Print_Area" localSheetId="3">'200128460'!$A$1:$G$87</definedName>
    <definedName name="_xlnm.Print_Area" localSheetId="4">'200128461'!$A$1:$H$86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5" l="1"/>
  <c r="B48" i="5"/>
  <c r="B46" i="5"/>
  <c r="B48" i="4"/>
  <c r="B49" i="4"/>
  <c r="B47" i="4"/>
  <c r="C78" i="5"/>
  <c r="C77" i="5"/>
  <c r="C76" i="5"/>
  <c r="B77" i="5"/>
  <c r="B78" i="5"/>
  <c r="B76" i="5"/>
  <c r="C68" i="5"/>
  <c r="C67" i="5"/>
  <c r="C66" i="5"/>
  <c r="C29" i="5"/>
  <c r="C28" i="5"/>
  <c r="C27" i="5"/>
  <c r="C29" i="4"/>
  <c r="C28" i="4"/>
  <c r="C27" i="4"/>
  <c r="B57" i="5"/>
  <c r="B58" i="5"/>
  <c r="B56" i="5"/>
  <c r="B58" i="4"/>
  <c r="B59" i="4"/>
  <c r="B57" i="4"/>
  <c r="B78" i="4"/>
  <c r="B79" i="4"/>
  <c r="B77" i="4"/>
  <c r="B67" i="5"/>
  <c r="B68" i="5"/>
  <c r="B66" i="5"/>
  <c r="B68" i="4"/>
  <c r="B69" i="4"/>
  <c r="B67" i="4"/>
  <c r="C37" i="4"/>
  <c r="B37" i="5"/>
  <c r="B38" i="5"/>
  <c r="B38" i="4"/>
  <c r="B39" i="4"/>
  <c r="B37" i="4"/>
  <c r="B18" i="5"/>
  <c r="B19" i="5"/>
  <c r="B17" i="5"/>
  <c r="B28" i="5"/>
  <c r="B29" i="5"/>
  <c r="B27" i="5"/>
  <c r="B28" i="4"/>
  <c r="B29" i="4"/>
  <c r="B27" i="4"/>
  <c r="C17" i="4"/>
  <c r="C18" i="4"/>
  <c r="C19" i="4"/>
  <c r="B18" i="4"/>
  <c r="B19" i="4"/>
  <c r="B17" i="4"/>
  <c r="C7" i="5"/>
  <c r="C8" i="5"/>
  <c r="B8" i="5"/>
  <c r="B9" i="5"/>
  <c r="B7" i="5"/>
  <c r="C9" i="4"/>
  <c r="C8" i="4"/>
  <c r="C7" i="4"/>
  <c r="B8" i="4"/>
  <c r="B9" i="4"/>
  <c r="B7" i="4"/>
  <c r="C49" i="3" l="1"/>
  <c r="C48" i="3"/>
  <c r="C47" i="3"/>
  <c r="C48" i="2"/>
  <c r="C49" i="2"/>
  <c r="C47" i="2"/>
  <c r="C59" i="3"/>
  <c r="C58" i="3"/>
  <c r="C57" i="3"/>
  <c r="B48" i="3"/>
  <c r="B49" i="3"/>
  <c r="B47" i="3"/>
  <c r="B58" i="3"/>
  <c r="B59" i="3"/>
  <c r="B57" i="3"/>
  <c r="C59" i="2"/>
  <c r="C58" i="2"/>
  <c r="C57" i="2"/>
  <c r="B48" i="2"/>
  <c r="I48" i="2" s="1"/>
  <c r="B49" i="2"/>
  <c r="B47" i="2"/>
  <c r="B58" i="2"/>
  <c r="B59" i="2"/>
  <c r="B57" i="2"/>
  <c r="C79" i="3"/>
  <c r="C78" i="3"/>
  <c r="C77" i="3"/>
  <c r="C79" i="2"/>
  <c r="C78" i="2"/>
  <c r="C77" i="2"/>
  <c r="C39" i="3"/>
  <c r="C38" i="3"/>
  <c r="C37" i="3"/>
  <c r="C39" i="2"/>
  <c r="C38" i="2"/>
  <c r="C37" i="2"/>
  <c r="C19" i="3"/>
  <c r="C18" i="3"/>
  <c r="C17" i="3"/>
  <c r="C19" i="2"/>
  <c r="C18" i="2"/>
  <c r="C17" i="2"/>
  <c r="C9" i="3"/>
  <c r="C8" i="3"/>
  <c r="C7" i="3"/>
  <c r="C9" i="2"/>
  <c r="C8" i="2"/>
  <c r="C7" i="2"/>
  <c r="H78" i="5"/>
  <c r="G78" i="5"/>
  <c r="I78" i="5"/>
  <c r="H77" i="5"/>
  <c r="G77" i="5"/>
  <c r="I77" i="5"/>
  <c r="H76" i="5"/>
  <c r="G76" i="5"/>
  <c r="I76" i="5"/>
  <c r="H68" i="5"/>
  <c r="G68" i="5"/>
  <c r="I68" i="5"/>
  <c r="H67" i="5"/>
  <c r="G67" i="5"/>
  <c r="I67" i="5"/>
  <c r="I66" i="5"/>
  <c r="H66" i="5"/>
  <c r="G66" i="5"/>
  <c r="H58" i="5"/>
  <c r="G58" i="5"/>
  <c r="I58" i="5"/>
  <c r="D58" i="5" s="1"/>
  <c r="E58" i="5" s="1"/>
  <c r="H57" i="5"/>
  <c r="G57" i="5"/>
  <c r="I57" i="5"/>
  <c r="H56" i="5"/>
  <c r="G56" i="5"/>
  <c r="I56" i="5"/>
  <c r="H48" i="5"/>
  <c r="G48" i="5"/>
  <c r="I48" i="5"/>
  <c r="H47" i="5"/>
  <c r="G47" i="5"/>
  <c r="I47" i="5"/>
  <c r="I46" i="5"/>
  <c r="H46" i="5"/>
  <c r="G46" i="5"/>
  <c r="I38" i="5"/>
  <c r="H38" i="5"/>
  <c r="G38" i="5"/>
  <c r="H37" i="5"/>
  <c r="G37" i="5"/>
  <c r="I37" i="5"/>
  <c r="I29" i="5"/>
  <c r="H29" i="5"/>
  <c r="G29" i="5"/>
  <c r="H28" i="5"/>
  <c r="G28" i="5"/>
  <c r="I28" i="5"/>
  <c r="D28" i="5" s="1"/>
  <c r="E28" i="5" s="1"/>
  <c r="I27" i="5"/>
  <c r="H27" i="5"/>
  <c r="G27" i="5"/>
  <c r="I19" i="5"/>
  <c r="H19" i="5"/>
  <c r="G19" i="5"/>
  <c r="H18" i="5"/>
  <c r="G18" i="5"/>
  <c r="I18" i="5"/>
  <c r="I17" i="5"/>
  <c r="H17" i="5"/>
  <c r="G17" i="5"/>
  <c r="H9" i="5"/>
  <c r="G9" i="5"/>
  <c r="I9" i="5"/>
  <c r="H8" i="5"/>
  <c r="G8" i="5"/>
  <c r="I8" i="5"/>
  <c r="H7" i="5"/>
  <c r="G7" i="5"/>
  <c r="I7" i="5"/>
  <c r="H79" i="4"/>
  <c r="G79" i="4"/>
  <c r="I79" i="4"/>
  <c r="H78" i="4"/>
  <c r="G78" i="4"/>
  <c r="I78" i="4"/>
  <c r="H77" i="4"/>
  <c r="G77" i="4"/>
  <c r="I77" i="4"/>
  <c r="H69" i="4"/>
  <c r="G69" i="4"/>
  <c r="I69" i="4"/>
  <c r="H68" i="4"/>
  <c r="G68" i="4"/>
  <c r="I68" i="4"/>
  <c r="H67" i="4"/>
  <c r="G67" i="4"/>
  <c r="I67" i="4"/>
  <c r="H59" i="4"/>
  <c r="G59" i="4"/>
  <c r="I59" i="4"/>
  <c r="H58" i="4"/>
  <c r="G58" i="4"/>
  <c r="I58" i="4"/>
  <c r="H57" i="4"/>
  <c r="G57" i="4"/>
  <c r="I57" i="4"/>
  <c r="H49" i="4"/>
  <c r="G49" i="4"/>
  <c r="I49" i="4"/>
  <c r="H48" i="4"/>
  <c r="G48" i="4"/>
  <c r="I48" i="4"/>
  <c r="H47" i="4"/>
  <c r="G47" i="4"/>
  <c r="I47" i="4"/>
  <c r="H39" i="4"/>
  <c r="G39" i="4"/>
  <c r="I39" i="4"/>
  <c r="H38" i="4"/>
  <c r="G38" i="4"/>
  <c r="I38" i="4"/>
  <c r="H37" i="4"/>
  <c r="G37" i="4"/>
  <c r="I37" i="4"/>
  <c r="H29" i="4"/>
  <c r="G29" i="4"/>
  <c r="I29" i="4"/>
  <c r="H28" i="4"/>
  <c r="G28" i="4"/>
  <c r="I28" i="4"/>
  <c r="H27" i="4"/>
  <c r="G27" i="4"/>
  <c r="I27" i="4"/>
  <c r="H19" i="4"/>
  <c r="G19" i="4"/>
  <c r="I19" i="4"/>
  <c r="H18" i="4"/>
  <c r="G18" i="4"/>
  <c r="I18" i="4"/>
  <c r="H17" i="4"/>
  <c r="G17" i="4"/>
  <c r="I17" i="4"/>
  <c r="I9" i="4"/>
  <c r="H9" i="4"/>
  <c r="G9" i="4"/>
  <c r="H8" i="4"/>
  <c r="G8" i="4"/>
  <c r="I8" i="4"/>
  <c r="H7" i="4"/>
  <c r="G7" i="4"/>
  <c r="I7" i="4"/>
  <c r="H79" i="3"/>
  <c r="G79" i="3"/>
  <c r="B79" i="3"/>
  <c r="I79" i="3" s="1"/>
  <c r="D79" i="3" s="1"/>
  <c r="E79" i="3" s="1"/>
  <c r="H78" i="3"/>
  <c r="G78" i="3"/>
  <c r="B78" i="3"/>
  <c r="I78" i="3" s="1"/>
  <c r="H77" i="3"/>
  <c r="G77" i="3"/>
  <c r="B77" i="3"/>
  <c r="I77" i="3" s="1"/>
  <c r="I69" i="3"/>
  <c r="H69" i="3"/>
  <c r="G69" i="3"/>
  <c r="B69" i="3"/>
  <c r="H68" i="3"/>
  <c r="G68" i="3"/>
  <c r="B68" i="3"/>
  <c r="I68" i="3" s="1"/>
  <c r="H67" i="3"/>
  <c r="G67" i="3"/>
  <c r="B67" i="3"/>
  <c r="I67" i="3" s="1"/>
  <c r="I59" i="3"/>
  <c r="H59" i="3"/>
  <c r="G59" i="3"/>
  <c r="H58" i="3"/>
  <c r="G58" i="3"/>
  <c r="I58" i="3"/>
  <c r="H57" i="3"/>
  <c r="G57" i="3"/>
  <c r="I57" i="3"/>
  <c r="H49" i="3"/>
  <c r="G49" i="3"/>
  <c r="I49" i="3"/>
  <c r="H48" i="3"/>
  <c r="G48" i="3"/>
  <c r="I48" i="3"/>
  <c r="D48" i="3" s="1"/>
  <c r="E48" i="3" s="1"/>
  <c r="H47" i="3"/>
  <c r="G47" i="3"/>
  <c r="I47" i="3"/>
  <c r="D47" i="3" s="1"/>
  <c r="H39" i="3"/>
  <c r="G39" i="3"/>
  <c r="B39" i="3"/>
  <c r="I39" i="3" s="1"/>
  <c r="H38" i="3"/>
  <c r="G38" i="3"/>
  <c r="B38" i="3"/>
  <c r="I38" i="3" s="1"/>
  <c r="D38" i="3" s="1"/>
  <c r="E38" i="3" s="1"/>
  <c r="H37" i="3"/>
  <c r="G37" i="3"/>
  <c r="B37" i="3"/>
  <c r="I37" i="3" s="1"/>
  <c r="H29" i="3"/>
  <c r="G29" i="3"/>
  <c r="B29" i="3"/>
  <c r="I29" i="3" s="1"/>
  <c r="I28" i="3"/>
  <c r="H28" i="3"/>
  <c r="G28" i="3"/>
  <c r="B28" i="3"/>
  <c r="H27" i="3"/>
  <c r="G27" i="3"/>
  <c r="B27" i="3"/>
  <c r="I27" i="3" s="1"/>
  <c r="H19" i="3"/>
  <c r="G19" i="3"/>
  <c r="B19" i="3"/>
  <c r="I19" i="3" s="1"/>
  <c r="I18" i="3"/>
  <c r="H18" i="3"/>
  <c r="D18" i="3" s="1"/>
  <c r="E18" i="3" s="1"/>
  <c r="G18" i="3"/>
  <c r="B18" i="3"/>
  <c r="H17" i="3"/>
  <c r="G17" i="3"/>
  <c r="B17" i="3"/>
  <c r="I17" i="3" s="1"/>
  <c r="H9" i="3"/>
  <c r="G9" i="3"/>
  <c r="B9" i="3"/>
  <c r="I9" i="3" s="1"/>
  <c r="H8" i="3"/>
  <c r="G8" i="3"/>
  <c r="B8" i="3"/>
  <c r="I8" i="3" s="1"/>
  <c r="D8" i="3" s="1"/>
  <c r="E8" i="3" s="1"/>
  <c r="H7" i="3"/>
  <c r="D7" i="3" s="1"/>
  <c r="E7" i="3" s="1"/>
  <c r="G7" i="3"/>
  <c r="B7" i="3"/>
  <c r="I7" i="3" s="1"/>
  <c r="H79" i="2"/>
  <c r="G79" i="2"/>
  <c r="B79" i="2"/>
  <c r="I79" i="2" s="1"/>
  <c r="H78" i="2"/>
  <c r="G78" i="2"/>
  <c r="B78" i="2"/>
  <c r="I78" i="2" s="1"/>
  <c r="H77" i="2"/>
  <c r="G77" i="2"/>
  <c r="B77" i="2"/>
  <c r="I77" i="2" s="1"/>
  <c r="H69" i="2"/>
  <c r="G69" i="2"/>
  <c r="B69" i="2"/>
  <c r="I69" i="2" s="1"/>
  <c r="H68" i="2"/>
  <c r="G68" i="2"/>
  <c r="B68" i="2"/>
  <c r="I68" i="2" s="1"/>
  <c r="H67" i="2"/>
  <c r="G67" i="2"/>
  <c r="B67" i="2"/>
  <c r="I67" i="2" s="1"/>
  <c r="H59" i="2"/>
  <c r="G59" i="2"/>
  <c r="I59" i="2"/>
  <c r="H58" i="2"/>
  <c r="G58" i="2"/>
  <c r="I58" i="2"/>
  <c r="D58" i="2" s="1"/>
  <c r="E58" i="2" s="1"/>
  <c r="H57" i="2"/>
  <c r="G57" i="2"/>
  <c r="I57" i="2"/>
  <c r="H49" i="2"/>
  <c r="G49" i="2"/>
  <c r="I49" i="2"/>
  <c r="H48" i="2"/>
  <c r="G48" i="2"/>
  <c r="H47" i="2"/>
  <c r="G47" i="2"/>
  <c r="I47" i="2"/>
  <c r="H39" i="2"/>
  <c r="G39" i="2"/>
  <c r="B39" i="2"/>
  <c r="I39" i="2" s="1"/>
  <c r="H38" i="2"/>
  <c r="G38" i="2"/>
  <c r="B38" i="2"/>
  <c r="I38" i="2" s="1"/>
  <c r="H37" i="2"/>
  <c r="G37" i="2"/>
  <c r="B37" i="2"/>
  <c r="I37" i="2" s="1"/>
  <c r="H29" i="2"/>
  <c r="G29" i="2"/>
  <c r="B29" i="2"/>
  <c r="I29" i="2" s="1"/>
  <c r="H28" i="2"/>
  <c r="G28" i="2"/>
  <c r="B28" i="2"/>
  <c r="I28" i="2" s="1"/>
  <c r="D28" i="2" s="1"/>
  <c r="E28" i="2" s="1"/>
  <c r="H27" i="2"/>
  <c r="G27" i="2"/>
  <c r="B27" i="2"/>
  <c r="I27" i="2" s="1"/>
  <c r="H19" i="2"/>
  <c r="G19" i="2"/>
  <c r="B19" i="2"/>
  <c r="I19" i="2" s="1"/>
  <c r="H18" i="2"/>
  <c r="G18" i="2"/>
  <c r="B18" i="2"/>
  <c r="I18" i="2" s="1"/>
  <c r="H17" i="2"/>
  <c r="G17" i="2"/>
  <c r="B17" i="2"/>
  <c r="I17" i="2" s="1"/>
  <c r="H9" i="2"/>
  <c r="G9" i="2"/>
  <c r="B9" i="2"/>
  <c r="I9" i="2" s="1"/>
  <c r="H8" i="2"/>
  <c r="G8" i="2"/>
  <c r="B8" i="2"/>
  <c r="I8" i="2" s="1"/>
  <c r="H7" i="2"/>
  <c r="G7" i="2"/>
  <c r="B7" i="2"/>
  <c r="I7" i="2" s="1"/>
  <c r="D7" i="2" s="1"/>
  <c r="E7" i="2" s="1"/>
  <c r="D77" i="5" l="1"/>
  <c r="E77" i="5" s="1"/>
  <c r="D46" i="5"/>
  <c r="E46" i="5" s="1"/>
  <c r="D7" i="4"/>
  <c r="E7" i="4" s="1"/>
  <c r="D19" i="5"/>
  <c r="E19" i="5" s="1"/>
  <c r="D9" i="5"/>
  <c r="E9" i="5" s="1"/>
  <c r="D66" i="5"/>
  <c r="E66" i="5" s="1"/>
  <c r="D76" i="5"/>
  <c r="D56" i="5"/>
  <c r="E56" i="5" s="1"/>
  <c r="C61" i="5" s="1"/>
  <c r="D37" i="5"/>
  <c r="E37" i="5" s="1"/>
  <c r="D67" i="5"/>
  <c r="E67" i="5" s="1"/>
  <c r="D68" i="5"/>
  <c r="E68" i="5" s="1"/>
  <c r="D48" i="5"/>
  <c r="E48" i="5" s="1"/>
  <c r="D8" i="4"/>
  <c r="E8" i="4" s="1"/>
  <c r="D38" i="4"/>
  <c r="E38" i="4" s="1"/>
  <c r="D17" i="4"/>
  <c r="D28" i="4"/>
  <c r="E28" i="4" s="1"/>
  <c r="D58" i="4"/>
  <c r="E58" i="4" s="1"/>
  <c r="D48" i="4"/>
  <c r="E48" i="4" s="1"/>
  <c r="D77" i="3"/>
  <c r="D57" i="3"/>
  <c r="D29" i="3"/>
  <c r="E29" i="3" s="1"/>
  <c r="D19" i="3"/>
  <c r="E19" i="3" s="1"/>
  <c r="D59" i="3"/>
  <c r="E59" i="3" s="1"/>
  <c r="D68" i="3"/>
  <c r="E68" i="3" s="1"/>
  <c r="D78" i="3"/>
  <c r="E78" i="3" s="1"/>
  <c r="D67" i="3"/>
  <c r="E67" i="3" s="1"/>
  <c r="D37" i="3"/>
  <c r="E37" i="3" s="1"/>
  <c r="D27" i="3"/>
  <c r="E27" i="3" s="1"/>
  <c r="D9" i="2"/>
  <c r="E9" i="2" s="1"/>
  <c r="D59" i="2"/>
  <c r="E59" i="2" s="1"/>
  <c r="D38" i="2"/>
  <c r="E38" i="2" s="1"/>
  <c r="D48" i="2"/>
  <c r="E48" i="2" s="1"/>
  <c r="D27" i="2"/>
  <c r="E27" i="2" s="1"/>
  <c r="D67" i="2"/>
  <c r="E67" i="2" s="1"/>
  <c r="D58" i="3"/>
  <c r="E58" i="3" s="1"/>
  <c r="D17" i="5"/>
  <c r="E17" i="5" s="1"/>
  <c r="D28" i="3"/>
  <c r="E28" i="3" s="1"/>
  <c r="D49" i="3"/>
  <c r="E49" i="3" s="1"/>
  <c r="D57" i="5"/>
  <c r="E57" i="5" s="1"/>
  <c r="D69" i="3"/>
  <c r="E69" i="3" s="1"/>
  <c r="D47" i="5"/>
  <c r="E47" i="5" s="1"/>
  <c r="D9" i="4"/>
  <c r="E9" i="4" s="1"/>
  <c r="D29" i="2"/>
  <c r="E29" i="2" s="1"/>
  <c r="D38" i="5"/>
  <c r="E38" i="5" s="1"/>
  <c r="D17" i="3"/>
  <c r="E47" i="3"/>
  <c r="E57" i="3"/>
  <c r="E77" i="3"/>
  <c r="D77" i="2"/>
  <c r="D68" i="4"/>
  <c r="E68" i="4" s="1"/>
  <c r="D19" i="4"/>
  <c r="E19" i="4" s="1"/>
  <c r="D8" i="5"/>
  <c r="E8" i="5" s="1"/>
  <c r="D27" i="5"/>
  <c r="D68" i="2"/>
  <c r="E68" i="2" s="1"/>
  <c r="D29" i="4"/>
  <c r="E29" i="4" s="1"/>
  <c r="D39" i="4"/>
  <c r="E39" i="4" s="1"/>
  <c r="C11" i="2"/>
  <c r="D78" i="2"/>
  <c r="E78" i="2" s="1"/>
  <c r="D49" i="4"/>
  <c r="E49" i="4" s="1"/>
  <c r="D39" i="2"/>
  <c r="E39" i="2" s="1"/>
  <c r="D49" i="2"/>
  <c r="E49" i="2" s="1"/>
  <c r="D59" i="4"/>
  <c r="E59" i="4" s="1"/>
  <c r="D69" i="4"/>
  <c r="E69" i="4" s="1"/>
  <c r="D79" i="4"/>
  <c r="E79" i="4" s="1"/>
  <c r="D18" i="5"/>
  <c r="E18" i="5" s="1"/>
  <c r="D19" i="2"/>
  <c r="E19" i="2" s="1"/>
  <c r="D8" i="2"/>
  <c r="E8" i="2" s="1"/>
  <c r="D27" i="4"/>
  <c r="D78" i="4"/>
  <c r="E78" i="4" s="1"/>
  <c r="D17" i="2"/>
  <c r="D79" i="2"/>
  <c r="E79" i="2" s="1"/>
  <c r="D39" i="3"/>
  <c r="E39" i="3" s="1"/>
  <c r="D37" i="4"/>
  <c r="D47" i="4"/>
  <c r="C12" i="2"/>
  <c r="D18" i="2"/>
  <c r="E18" i="2" s="1"/>
  <c r="D37" i="2"/>
  <c r="D69" i="2"/>
  <c r="E69" i="2" s="1"/>
  <c r="D9" i="3"/>
  <c r="E9" i="3" s="1"/>
  <c r="C12" i="3" s="1"/>
  <c r="D47" i="2"/>
  <c r="D57" i="2"/>
  <c r="C11" i="3"/>
  <c r="D57" i="4"/>
  <c r="D29" i="5"/>
  <c r="E29" i="5" s="1"/>
  <c r="D18" i="4"/>
  <c r="E18" i="4" s="1"/>
  <c r="D67" i="4"/>
  <c r="D77" i="4"/>
  <c r="D7" i="5"/>
  <c r="D78" i="5"/>
  <c r="E78" i="5" s="1"/>
  <c r="C60" i="5" l="1"/>
  <c r="C50" i="5"/>
  <c r="C80" i="5"/>
  <c r="C51" i="5"/>
  <c r="C40" i="5"/>
  <c r="C71" i="5"/>
  <c r="C70" i="5"/>
  <c r="C22" i="5"/>
  <c r="C21" i="5"/>
  <c r="E76" i="5"/>
  <c r="C81" i="5" s="1"/>
  <c r="C11" i="4"/>
  <c r="C21" i="4"/>
  <c r="E17" i="4"/>
  <c r="C22" i="4" s="1"/>
  <c r="C52" i="3"/>
  <c r="C82" i="3"/>
  <c r="C21" i="3"/>
  <c r="C32" i="2"/>
  <c r="C51" i="3"/>
  <c r="C41" i="3"/>
  <c r="C31" i="3"/>
  <c r="C81" i="3"/>
  <c r="C31" i="2"/>
  <c r="C42" i="3"/>
  <c r="C61" i="3"/>
  <c r="C62" i="3"/>
  <c r="C32" i="3"/>
  <c r="C72" i="3"/>
  <c r="C71" i="3"/>
  <c r="E17" i="3"/>
  <c r="C22" i="3" s="1"/>
  <c r="C72" i="2"/>
  <c r="C71" i="2"/>
  <c r="C41" i="5"/>
  <c r="C41" i="2"/>
  <c r="E37" i="2"/>
  <c r="C42" i="2" s="1"/>
  <c r="C51" i="2"/>
  <c r="E47" i="2"/>
  <c r="C52" i="2" s="1"/>
  <c r="C31" i="4"/>
  <c r="E27" i="4"/>
  <c r="C32" i="4" s="1"/>
  <c r="E57" i="2"/>
  <c r="C62" i="2" s="1"/>
  <c r="C61" i="2"/>
  <c r="E17" i="2"/>
  <c r="C22" i="2" s="1"/>
  <c r="C21" i="2"/>
  <c r="E77" i="2"/>
  <c r="C82" i="2" s="1"/>
  <c r="C81" i="2"/>
  <c r="E7" i="5"/>
  <c r="C11" i="5"/>
  <c r="C81" i="4"/>
  <c r="E77" i="4"/>
  <c r="C82" i="4" s="1"/>
  <c r="C71" i="4"/>
  <c r="E67" i="4"/>
  <c r="C72" i="4" s="1"/>
  <c r="C31" i="5"/>
  <c r="E27" i="5"/>
  <c r="C32" i="5" s="1"/>
  <c r="E47" i="4"/>
  <c r="C52" i="4" s="1"/>
  <c r="C51" i="4"/>
  <c r="C61" i="4"/>
  <c r="E57" i="4"/>
  <c r="C62" i="4" s="1"/>
  <c r="C12" i="4"/>
  <c r="E37" i="4"/>
  <c r="C42" i="4" s="1"/>
  <c r="C41" i="4"/>
  <c r="C12" i="5" l="1"/>
</calcChain>
</file>

<file path=xl/sharedStrings.xml><?xml version="1.0" encoding="utf-8"?>
<sst xmlns="http://schemas.openxmlformats.org/spreadsheetml/2006/main" count="467" uniqueCount="88">
  <si>
    <t>Date:</t>
  </si>
  <si>
    <t>Request ID:</t>
  </si>
  <si>
    <t>100048725</t>
  </si>
  <si>
    <t>Microwave</t>
  </si>
  <si>
    <t>Analyte(s)</t>
  </si>
  <si>
    <t>Ca, Cr, Cu, Fe, K, Na, Ni, Zn</t>
  </si>
  <si>
    <t>SOP#</t>
  </si>
  <si>
    <t>Acid Cocktail</t>
  </si>
  <si>
    <t>Rack</t>
  </si>
  <si>
    <t>Vessel</t>
  </si>
  <si>
    <t>Stir</t>
  </si>
  <si>
    <t>Time (min)</t>
  </si>
  <si>
    <t>Power (W)</t>
  </si>
  <si>
    <t>T1 (°C)</t>
  </si>
  <si>
    <t>T2 (°C)</t>
  </si>
  <si>
    <t>P (bar)</t>
  </si>
  <si>
    <t>sample(s)</t>
  </si>
  <si>
    <t>weight (g)</t>
  </si>
  <si>
    <t>volume (mL)</t>
  </si>
  <si>
    <t>200128458_1</t>
  </si>
  <si>
    <t>200128458_2</t>
  </si>
  <si>
    <t>200128458_3</t>
  </si>
  <si>
    <t>200128459_1</t>
  </si>
  <si>
    <t>200128459_2</t>
  </si>
  <si>
    <t>200128459_3</t>
  </si>
  <si>
    <t>200128460_1</t>
  </si>
  <si>
    <t>200128460_2</t>
  </si>
  <si>
    <t>200128460_3</t>
  </si>
  <si>
    <t>200128461_1</t>
  </si>
  <si>
    <t>200128461_2</t>
  </si>
  <si>
    <t>200128461_3</t>
  </si>
  <si>
    <t>Ca ICP analysis</t>
  </si>
  <si>
    <t>sample</t>
  </si>
  <si>
    <t>Dilution</t>
  </si>
  <si>
    <t>conc. [mg/L]</t>
  </si>
  <si>
    <t>Ca_ppm</t>
  </si>
  <si>
    <t>%Ca</t>
  </si>
  <si>
    <t>ca result:</t>
  </si>
  <si>
    <t>ca lot:</t>
  </si>
  <si>
    <t>Cr ICP analysis</t>
  </si>
  <si>
    <t>Cr_ppm</t>
  </si>
  <si>
    <t>%Cr</t>
  </si>
  <si>
    <t>cr result:</t>
  </si>
  <si>
    <t>cr lot:</t>
  </si>
  <si>
    <t>Cu ICP analysis</t>
  </si>
  <si>
    <t>Cu_ppm</t>
  </si>
  <si>
    <t>%Cu</t>
  </si>
  <si>
    <t>cu result:</t>
  </si>
  <si>
    <t>cu lot:</t>
  </si>
  <si>
    <t>Fe ICP analysis</t>
  </si>
  <si>
    <t>Fe_ppm</t>
  </si>
  <si>
    <t>%Fe</t>
  </si>
  <si>
    <t>fe result:</t>
  </si>
  <si>
    <t>fe lot:</t>
  </si>
  <si>
    <t>K ICP analysis</t>
  </si>
  <si>
    <t>K_ppm</t>
  </si>
  <si>
    <t>%K</t>
  </si>
  <si>
    <t>k result:</t>
  </si>
  <si>
    <t>k lot:</t>
  </si>
  <si>
    <t>Na ICP analysis</t>
  </si>
  <si>
    <t>Na_ppm</t>
  </si>
  <si>
    <t>%Na</t>
  </si>
  <si>
    <t>na result:</t>
  </si>
  <si>
    <t>na lot:</t>
  </si>
  <si>
    <t>Ni ICP analysis</t>
  </si>
  <si>
    <t>Ni_ppm</t>
  </si>
  <si>
    <t>%Ni</t>
  </si>
  <si>
    <t>ni result:</t>
  </si>
  <si>
    <t>ni lot:</t>
  </si>
  <si>
    <t>Zn ICP analysis</t>
  </si>
  <si>
    <t>Zn_ppm</t>
  </si>
  <si>
    <t>%Zn</t>
  </si>
  <si>
    <t>zn result:</t>
  </si>
  <si>
    <t>zn lot:</t>
  </si>
  <si>
    <t>Manufacturer: Assurance, 28-35CAY exp: 2026-10-30</t>
  </si>
  <si>
    <t>Manufacturer: Ricca, 45120423 exp: 2027-05-31</t>
  </si>
  <si>
    <t>Manufacturer: Assurance, 28-83CUT exp: 2026-09-30</t>
  </si>
  <si>
    <t>Manufacturer: Assurance, 28-180FEY exp: 2027-07-30</t>
  </si>
  <si>
    <t>Manufacturer: Assurance, 28-6KY exp: 2026-08-30</t>
  </si>
  <si>
    <t>Manufacturer: Assurance, 27-159NAY exp: 2026-08-30</t>
  </si>
  <si>
    <t>Manufacturer: Assurance, 28-130NIT exp: 2026-10-30</t>
  </si>
  <si>
    <t>Manufacturer: Assurance, 28-58ZNY exp: 2026-10-30</t>
  </si>
  <si>
    <t>Note(s):</t>
  </si>
  <si>
    <t>ppm M+ = [conc.][volume][dilution]/[weight]</t>
  </si>
  <si>
    <t>%M+ = [conc.][volume][dilution]/([weight]*10,000)</t>
  </si>
  <si>
    <t>%MO = [oxide factor]*%M+</t>
  </si>
  <si>
    <t>9 mL HCl, 3 mL HNO3, 6 mL H2SO4</t>
  </si>
  <si>
    <t>PTFE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</si>
</sst>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"/>
    <numFmt numFmtId="167" formatCode="0.00&quot; ppm&quot;"/>
    <numFmt numFmtId="168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8" fontId="0" fillId="0" borderId="0" xfId="0" applyNumberFormat="1" applyAlignment="1">
      <alignment horizontal="left"/>
    </xf>
    <xf numFmtId="0" fontId="4" fillId="0" borderId="0" xfId="0" applyFont="1"/>
    <xf numFmtId="167" fontId="0" fillId="2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0" fillId="0" borderId="1" xfId="0" applyBorder="1"/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32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workbookViewId="0">
      <selection activeCell="B31" sqref="B31"/>
    </sheetView>
  </sheetViews>
  <sheetFormatPr defaultRowHeight="15" x14ac:dyDescent="0.25"/>
  <cols>
    <col min="1" max="1" width="12.28515625" bestFit="1" customWidth="1"/>
    <col min="2" max="2" width="10.5703125" bestFit="1" customWidth="1"/>
    <col min="3" max="3" width="12.140625" bestFit="1" customWidth="1"/>
    <col min="4" max="4" width="7.140625" bestFit="1" customWidth="1"/>
    <col min="5" max="5" width="6.85546875" bestFit="1" customWidth="1"/>
  </cols>
  <sheetData>
    <row r="1" spans="1:5" x14ac:dyDescent="0.25">
      <c r="A1" s="1" t="s">
        <v>0</v>
      </c>
      <c r="B1" s="2">
        <v>46216</v>
      </c>
    </row>
    <row r="2" spans="1:5" x14ac:dyDescent="0.25">
      <c r="A2" s="1" t="s">
        <v>1</v>
      </c>
      <c r="B2" s="3" t="s">
        <v>2</v>
      </c>
    </row>
    <row r="5" spans="1:5" x14ac:dyDescent="0.25">
      <c r="A5" s="22" t="s">
        <v>3</v>
      </c>
      <c r="B5" s="22"/>
      <c r="C5" s="22"/>
      <c r="D5" s="22"/>
      <c r="E5" s="22"/>
    </row>
    <row r="6" spans="1:5" x14ac:dyDescent="0.25">
      <c r="A6" s="4" t="s">
        <v>4</v>
      </c>
      <c r="B6" s="19" t="s">
        <v>5</v>
      </c>
      <c r="C6" s="19"/>
      <c r="D6" s="19"/>
      <c r="E6" s="19"/>
    </row>
    <row r="7" spans="1:5" x14ac:dyDescent="0.25">
      <c r="A7" s="4" t="s">
        <v>6</v>
      </c>
      <c r="B7" s="19"/>
      <c r="C7" s="19"/>
      <c r="D7" s="19"/>
      <c r="E7" s="19"/>
    </row>
    <row r="8" spans="1:5" x14ac:dyDescent="0.25">
      <c r="A8" s="4" t="s">
        <v>7</v>
      </c>
      <c r="B8" s="19" t="s">
        <v>86</v>
      </c>
      <c r="C8" s="19"/>
      <c r="D8" s="19"/>
      <c r="E8" s="19"/>
    </row>
    <row r="9" spans="1:5" x14ac:dyDescent="0.25">
      <c r="A9" s="4" t="s">
        <v>8</v>
      </c>
      <c r="B9" s="21">
        <v>7</v>
      </c>
      <c r="C9" s="21"/>
      <c r="D9" s="21"/>
      <c r="E9" s="21"/>
    </row>
    <row r="10" spans="1:5" x14ac:dyDescent="0.25">
      <c r="A10" s="4" t="s">
        <v>9</v>
      </c>
      <c r="B10" s="19" t="s">
        <v>87</v>
      </c>
      <c r="C10" s="19"/>
      <c r="D10" s="19"/>
      <c r="E10" s="19"/>
    </row>
    <row r="11" spans="1:5" x14ac:dyDescent="0.25">
      <c r="A11" s="4" t="s">
        <v>10</v>
      </c>
      <c r="B11" s="20">
        <v>0.9</v>
      </c>
      <c r="C11" s="21"/>
      <c r="D11" s="21"/>
      <c r="E11" s="21"/>
    </row>
    <row r="12" spans="1:5" x14ac:dyDescent="0.2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</row>
    <row r="13" spans="1:5" x14ac:dyDescent="0.25">
      <c r="A13" s="5">
        <v>15</v>
      </c>
      <c r="B13" s="5">
        <v>1200</v>
      </c>
      <c r="C13" s="5">
        <v>180</v>
      </c>
      <c r="D13" s="5">
        <v>65</v>
      </c>
      <c r="E13" s="5">
        <v>110</v>
      </c>
    </row>
    <row r="14" spans="1:5" x14ac:dyDescent="0.25">
      <c r="A14" s="5">
        <v>15</v>
      </c>
      <c r="B14" s="5">
        <v>1500</v>
      </c>
      <c r="C14" s="5">
        <v>240</v>
      </c>
      <c r="D14" s="5">
        <v>65</v>
      </c>
      <c r="E14" s="5">
        <v>110</v>
      </c>
    </row>
    <row r="15" spans="1:5" x14ac:dyDescent="0.25">
      <c r="A15" s="5">
        <v>30</v>
      </c>
      <c r="B15" s="5">
        <v>1500</v>
      </c>
      <c r="C15" s="5">
        <v>240</v>
      </c>
      <c r="D15" s="5">
        <v>65</v>
      </c>
      <c r="E15" s="5">
        <v>110</v>
      </c>
    </row>
    <row r="16" spans="1:5" x14ac:dyDescent="0.25">
      <c r="A16" s="4" t="s">
        <v>16</v>
      </c>
      <c r="B16" s="4" t="s">
        <v>17</v>
      </c>
      <c r="C16" s="4" t="s">
        <v>18</v>
      </c>
    </row>
    <row r="17" spans="1:3" x14ac:dyDescent="0.25">
      <c r="A17" s="4" t="s">
        <v>19</v>
      </c>
      <c r="B17" s="6">
        <v>1.2524999999999999</v>
      </c>
      <c r="C17" s="5">
        <v>50</v>
      </c>
    </row>
    <row r="18" spans="1:3" x14ac:dyDescent="0.25">
      <c r="A18" s="4" t="s">
        <v>20</v>
      </c>
      <c r="B18" s="6">
        <v>1.2524999999999999</v>
      </c>
      <c r="C18" s="5">
        <v>50</v>
      </c>
    </row>
    <row r="19" spans="1:3" x14ac:dyDescent="0.25">
      <c r="A19" s="4" t="s">
        <v>21</v>
      </c>
      <c r="B19" s="6">
        <v>1.2543</v>
      </c>
      <c r="C19" s="5">
        <v>50</v>
      </c>
    </row>
    <row r="20" spans="1:3" x14ac:dyDescent="0.25">
      <c r="A20" s="4" t="s">
        <v>22</v>
      </c>
      <c r="B20" s="6">
        <v>1.2555000000000001</v>
      </c>
      <c r="C20" s="5">
        <v>50</v>
      </c>
    </row>
    <row r="21" spans="1:3" x14ac:dyDescent="0.25">
      <c r="A21" s="4" t="s">
        <v>23</v>
      </c>
      <c r="B21" s="6">
        <v>1.2549999999999999</v>
      </c>
      <c r="C21" s="5">
        <v>50</v>
      </c>
    </row>
    <row r="22" spans="1:3" x14ac:dyDescent="0.25">
      <c r="A22" s="4" t="s">
        <v>24</v>
      </c>
      <c r="B22" s="6">
        <v>1.2544</v>
      </c>
      <c r="C22" s="5">
        <v>50</v>
      </c>
    </row>
    <row r="23" spans="1:3" x14ac:dyDescent="0.25">
      <c r="A23" s="4" t="s">
        <v>25</v>
      </c>
      <c r="B23" s="6">
        <v>1.2531000000000001</v>
      </c>
      <c r="C23" s="5">
        <v>50</v>
      </c>
    </row>
    <row r="24" spans="1:3" x14ac:dyDescent="0.25">
      <c r="A24" s="4" t="s">
        <v>26</v>
      </c>
      <c r="B24" s="6">
        <v>1.2525999999999999</v>
      </c>
      <c r="C24" s="5">
        <v>50</v>
      </c>
    </row>
    <row r="25" spans="1:3" x14ac:dyDescent="0.25">
      <c r="A25" s="4" t="s">
        <v>27</v>
      </c>
      <c r="B25" s="6">
        <v>1.2577</v>
      </c>
      <c r="C25" s="5">
        <v>50</v>
      </c>
    </row>
    <row r="26" spans="1:3" x14ac:dyDescent="0.25">
      <c r="A26" s="4" t="s">
        <v>28</v>
      </c>
      <c r="B26" s="6">
        <v>1.2557</v>
      </c>
      <c r="C26" s="5">
        <v>50</v>
      </c>
    </row>
    <row r="27" spans="1:3" x14ac:dyDescent="0.25">
      <c r="A27" s="4" t="s">
        <v>29</v>
      </c>
      <c r="B27" s="6">
        <v>1.2544999999999999</v>
      </c>
      <c r="C27" s="5">
        <v>50</v>
      </c>
    </row>
    <row r="28" spans="1:3" x14ac:dyDescent="0.25">
      <c r="A28" s="4" t="s">
        <v>30</v>
      </c>
      <c r="B28" s="6">
        <v>1.2561</v>
      </c>
      <c r="C28" s="5">
        <v>50</v>
      </c>
    </row>
  </sheetData>
  <mergeCells count="7">
    <mergeCell ref="B10:E10"/>
    <mergeCell ref="B11:E11"/>
    <mergeCell ref="A5:E5"/>
    <mergeCell ref="B6:E6"/>
    <mergeCell ref="B7:E7"/>
    <mergeCell ref="B8:E8"/>
    <mergeCell ref="B9:E9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87"/>
  <sheetViews>
    <sheetView zoomScaleNormal="100" workbookViewId="0">
      <selection activeCell="A31" sqref="A31:B31"/>
    </sheetView>
  </sheetViews>
  <sheetFormatPr defaultRowHeight="15" x14ac:dyDescent="0.25"/>
  <cols>
    <col min="1" max="1" width="14.42578125" bestFit="1" customWidth="1"/>
    <col min="2" max="2" width="10.7109375" bestFit="1" customWidth="1"/>
    <col min="3" max="3" width="12.7109375" customWidth="1"/>
    <col min="4" max="4" width="8.42578125" bestFit="1" customWidth="1"/>
    <col min="5" max="5" width="7.7109375" customWidth="1"/>
    <col min="6" max="6" width="19.140625" customWidth="1"/>
    <col min="7" max="78" width="7.7109375" customWidth="1"/>
  </cols>
  <sheetData>
    <row r="1" spans="1:9" x14ac:dyDescent="0.25">
      <c r="A1" s="1" t="s">
        <v>0</v>
      </c>
      <c r="B1" s="2">
        <v>46216</v>
      </c>
    </row>
    <row r="2" spans="1:9" x14ac:dyDescent="0.25">
      <c r="A2" s="1" t="s">
        <v>1</v>
      </c>
      <c r="B2" s="3" t="s">
        <v>2</v>
      </c>
    </row>
    <row r="5" spans="1:9" x14ac:dyDescent="0.25">
      <c r="A5" s="14" t="s">
        <v>31</v>
      </c>
      <c r="B5" s="14"/>
    </row>
    <row r="6" spans="1:9" x14ac:dyDescent="0.25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</row>
    <row r="7" spans="1:9" x14ac:dyDescent="0.25">
      <c r="A7" s="4" t="s">
        <v>19</v>
      </c>
      <c r="B7" s="5" t="str">
        <f>"1/1"</f>
        <v>1/1</v>
      </c>
      <c r="C7" s="7">
        <f>AVERAGE(3.664,3.387,3.605)</f>
        <v>3.552</v>
      </c>
      <c r="D7" s="8">
        <f>((C7)*(H7)*(I7))/(G7*1)</f>
        <v>141.79640718562874</v>
      </c>
      <c r="E7" s="8">
        <f>D7/10000</f>
        <v>1.4179640718562874E-2</v>
      </c>
      <c r="G7" s="9">
        <f>digestion_page!B17</f>
        <v>1.2524999999999999</v>
      </c>
      <c r="H7" s="9">
        <f>digestion_page!C17</f>
        <v>50</v>
      </c>
      <c r="I7" s="9">
        <f>(LEFT(B7,FIND("/",B7)-1)/RIGHT(B7,LEN(B7)-FIND("/", B7)))</f>
        <v>1</v>
      </c>
    </row>
    <row r="8" spans="1:9" x14ac:dyDescent="0.25">
      <c r="A8" s="4" t="s">
        <v>20</v>
      </c>
      <c r="B8" s="5" t="str">
        <f>"1/1"</f>
        <v>1/1</v>
      </c>
      <c r="C8" s="7">
        <f>AVERAGE(3.621,3.377,3.595)</f>
        <v>3.5310000000000001</v>
      </c>
      <c r="D8" s="8">
        <f>((C8)*(H8)*(I8))/(G8*1)</f>
        <v>140.95808383233535</v>
      </c>
      <c r="E8" s="8">
        <f>D8/10000</f>
        <v>1.4095808383233535E-2</v>
      </c>
      <c r="G8" s="9">
        <f>digestion_page!B18</f>
        <v>1.2524999999999999</v>
      </c>
      <c r="H8" s="9">
        <f>digestion_page!C18</f>
        <v>50</v>
      </c>
      <c r="I8" s="9">
        <f>(LEFT(B8,FIND("/",B8)-1)/RIGHT(B8,LEN(B8)-FIND("/", B8)))</f>
        <v>1</v>
      </c>
    </row>
    <row r="9" spans="1:9" x14ac:dyDescent="0.25">
      <c r="A9" s="4" t="s">
        <v>21</v>
      </c>
      <c r="B9" s="5" t="str">
        <f>"1/1"</f>
        <v>1/1</v>
      </c>
      <c r="C9" s="7">
        <f>AVERAGE(3.566,3.321,3.543)</f>
        <v>3.4766666666666666</v>
      </c>
      <c r="D9" s="8">
        <f>((C9)*(H9)*(I9))/(G9*1)</f>
        <v>138.58991735097928</v>
      </c>
      <c r="E9" s="8">
        <f>D9/10000</f>
        <v>1.3858991735097928E-2</v>
      </c>
      <c r="G9" s="9">
        <f>digestion_page!B19</f>
        <v>1.2543</v>
      </c>
      <c r="H9" s="9">
        <f>digestion_page!C19</f>
        <v>50</v>
      </c>
      <c r="I9" s="9">
        <f>(LEFT(B9,FIND("/",B9)-1)/RIGHT(B9,LEN(B9)-FIND("/", B9)))</f>
        <v>1</v>
      </c>
    </row>
    <row r="11" spans="1:9" x14ac:dyDescent="0.25">
      <c r="A11" s="15" t="s">
        <v>37</v>
      </c>
      <c r="B11" s="15"/>
      <c r="C11" s="13">
        <f>AVERAGE(D7:D9)</f>
        <v>140.44813612298114</v>
      </c>
    </row>
    <row r="12" spans="1:9" x14ac:dyDescent="0.25">
      <c r="A12" s="16" t="s">
        <v>37</v>
      </c>
      <c r="B12" s="16"/>
      <c r="C12" s="11">
        <f>AVERAGE(E7:E9)</f>
        <v>1.4044813612298113E-2</v>
      </c>
    </row>
    <row r="13" spans="1:9" x14ac:dyDescent="0.25">
      <c r="A13" s="16" t="s">
        <v>38</v>
      </c>
      <c r="B13" s="16"/>
      <c r="C13" s="17" t="s">
        <v>74</v>
      </c>
      <c r="D13" s="17"/>
      <c r="E13" s="17"/>
      <c r="F13" s="17"/>
    </row>
    <row r="15" spans="1:9" x14ac:dyDescent="0.25">
      <c r="A15" s="14" t="s">
        <v>39</v>
      </c>
      <c r="B15" s="14"/>
    </row>
    <row r="16" spans="1:9" x14ac:dyDescent="0.25">
      <c r="A16" s="4" t="s">
        <v>32</v>
      </c>
      <c r="B16" s="4" t="s">
        <v>33</v>
      </c>
      <c r="C16" s="4" t="s">
        <v>34</v>
      </c>
      <c r="D16" s="4" t="s">
        <v>40</v>
      </c>
      <c r="E16" s="4" t="s">
        <v>41</v>
      </c>
    </row>
    <row r="17" spans="1:9" x14ac:dyDescent="0.25">
      <c r="A17" s="4" t="s">
        <v>19</v>
      </c>
      <c r="B17" s="5" t="str">
        <f>"1/1"</f>
        <v>1/1</v>
      </c>
      <c r="C17" s="7">
        <f>AVERAGE(1.578,1.492,1.554)</f>
        <v>1.5413333333333334</v>
      </c>
      <c r="D17" s="8">
        <f>((C17)*(H17)*(I17))/(G17*1)</f>
        <v>61.530272787757831</v>
      </c>
      <c r="E17" s="8">
        <f>D17/10000</f>
        <v>6.153027278775783E-3</v>
      </c>
      <c r="G17" s="9">
        <f>digestion_page!B17</f>
        <v>1.2524999999999999</v>
      </c>
      <c r="H17" s="9">
        <f>digestion_page!C17</f>
        <v>50</v>
      </c>
      <c r="I17" s="9">
        <f>(LEFT(B17,FIND("/",B17)-1)/RIGHT(B17,LEN(B17)-FIND("/", B17)))</f>
        <v>1</v>
      </c>
    </row>
    <row r="18" spans="1:9" x14ac:dyDescent="0.25">
      <c r="A18" s="4" t="s">
        <v>20</v>
      </c>
      <c r="B18" s="5" t="str">
        <f>"1/1"</f>
        <v>1/1</v>
      </c>
      <c r="C18" s="7">
        <f>AVERAGE(1.616,1.52,1.56)</f>
        <v>1.5653333333333332</v>
      </c>
      <c r="D18" s="8">
        <f>((C18)*(H18)*(I18))/(G18*1)</f>
        <v>62.48835662009315</v>
      </c>
      <c r="E18" s="8">
        <f>D18/10000</f>
        <v>6.2488356620093149E-3</v>
      </c>
      <c r="G18" s="9">
        <f>digestion_page!B18</f>
        <v>1.2524999999999999</v>
      </c>
      <c r="H18" s="9">
        <f>digestion_page!C18</f>
        <v>50</v>
      </c>
      <c r="I18" s="9">
        <f>(LEFT(B18,FIND("/",B18)-1)/RIGHT(B18,LEN(B18)-FIND("/", B18)))</f>
        <v>1</v>
      </c>
    </row>
    <row r="19" spans="1:9" x14ac:dyDescent="0.25">
      <c r="A19" s="4" t="s">
        <v>21</v>
      </c>
      <c r="B19" s="5" t="str">
        <f>"1/1"</f>
        <v>1/1</v>
      </c>
      <c r="C19" s="7">
        <f>AVERAGE(1.61,1.509,1.553)</f>
        <v>1.5573333333333332</v>
      </c>
      <c r="D19" s="8">
        <f>((C19)*(H19)*(I19))/(G19*1)</f>
        <v>62.079778893938183</v>
      </c>
      <c r="E19" s="8">
        <f>D19/10000</f>
        <v>6.2079778893938181E-3</v>
      </c>
      <c r="G19" s="9">
        <f>digestion_page!B19</f>
        <v>1.2543</v>
      </c>
      <c r="H19" s="9">
        <f>digestion_page!C19</f>
        <v>50</v>
      </c>
      <c r="I19" s="9">
        <f>(LEFT(B19,FIND("/",B19)-1)/RIGHT(B19,LEN(B19)-FIND("/", B19)))</f>
        <v>1</v>
      </c>
    </row>
    <row r="21" spans="1:9" x14ac:dyDescent="0.25">
      <c r="A21" s="15" t="s">
        <v>42</v>
      </c>
      <c r="B21" s="15"/>
      <c r="C21" s="13">
        <f>AVERAGE(D17:D19)</f>
        <v>62.032802767263057</v>
      </c>
    </row>
    <row r="22" spans="1:9" x14ac:dyDescent="0.25">
      <c r="A22" s="16" t="s">
        <v>42</v>
      </c>
      <c r="B22" s="16"/>
      <c r="C22" s="11">
        <f>AVERAGE(E17:E19)</f>
        <v>6.2032802767263062E-3</v>
      </c>
    </row>
    <row r="23" spans="1:9" x14ac:dyDescent="0.25">
      <c r="A23" s="16" t="s">
        <v>43</v>
      </c>
      <c r="B23" s="16"/>
      <c r="C23" s="17" t="s">
        <v>75</v>
      </c>
      <c r="D23" s="17"/>
      <c r="E23" s="17"/>
      <c r="F23" s="17"/>
    </row>
    <row r="25" spans="1:9" x14ac:dyDescent="0.25">
      <c r="A25" s="14" t="s">
        <v>44</v>
      </c>
      <c r="B25" s="14"/>
    </row>
    <row r="26" spans="1:9" x14ac:dyDescent="0.25">
      <c r="A26" s="4" t="s">
        <v>32</v>
      </c>
      <c r="B26" s="4" t="s">
        <v>33</v>
      </c>
      <c r="C26" s="4" t="s">
        <v>34</v>
      </c>
      <c r="D26" s="4" t="s">
        <v>45</v>
      </c>
      <c r="E26" s="4" t="s">
        <v>46</v>
      </c>
    </row>
    <row r="27" spans="1:9" x14ac:dyDescent="0.25">
      <c r="A27" s="4" t="s">
        <v>19</v>
      </c>
      <c r="B27" s="5" t="str">
        <f>"1/1"</f>
        <v>1/1</v>
      </c>
      <c r="C27" s="7">
        <v>3.153</v>
      </c>
      <c r="D27" s="8">
        <f>((C27)*(H27)*(I27))/(G27*1)</f>
        <v>125.8682634730539</v>
      </c>
      <c r="E27" s="8">
        <f>D27/10000</f>
        <v>1.258682634730539E-2</v>
      </c>
      <c r="G27" s="9">
        <f>digestion_page!B17</f>
        <v>1.2524999999999999</v>
      </c>
      <c r="H27" s="9">
        <f>digestion_page!C17</f>
        <v>50</v>
      </c>
      <c r="I27" s="9">
        <f>(LEFT(B27,FIND("/",B27)-1)/RIGHT(B27,LEN(B27)-FIND("/", B27)))</f>
        <v>1</v>
      </c>
    </row>
    <row r="28" spans="1:9" x14ac:dyDescent="0.25">
      <c r="A28" s="4" t="s">
        <v>20</v>
      </c>
      <c r="B28" s="5" t="str">
        <f>"1/1"</f>
        <v>1/1</v>
      </c>
      <c r="C28" s="7">
        <v>3.2069999999999999</v>
      </c>
      <c r="D28" s="8">
        <f>((C28)*(H28)*(I28))/(G28*1)</f>
        <v>128.0239520958084</v>
      </c>
      <c r="E28" s="8">
        <f>D28/10000</f>
        <v>1.280239520958084E-2</v>
      </c>
      <c r="G28" s="9">
        <f>digestion_page!B18</f>
        <v>1.2524999999999999</v>
      </c>
      <c r="H28" s="9">
        <f>digestion_page!C18</f>
        <v>50</v>
      </c>
      <c r="I28" s="9">
        <f>(LEFT(B28,FIND("/",B28)-1)/RIGHT(B28,LEN(B28)-FIND("/", B28)))</f>
        <v>1</v>
      </c>
    </row>
    <row r="29" spans="1:9" x14ac:dyDescent="0.25">
      <c r="A29" s="4" t="s">
        <v>21</v>
      </c>
      <c r="B29" s="5" t="str">
        <f>"1/1"</f>
        <v>1/1</v>
      </c>
      <c r="C29" s="7">
        <v>3.1840000000000002</v>
      </c>
      <c r="D29" s="8">
        <f>((C29)*(H29)*(I29))/(G29*1)</f>
        <v>126.92338356055171</v>
      </c>
      <c r="E29" s="8">
        <f>D29/10000</f>
        <v>1.2692338356055171E-2</v>
      </c>
      <c r="G29" s="9">
        <f>digestion_page!B19</f>
        <v>1.2543</v>
      </c>
      <c r="H29" s="9">
        <f>digestion_page!C19</f>
        <v>50</v>
      </c>
      <c r="I29" s="9">
        <f>(LEFT(B29,FIND("/",B29)-1)/RIGHT(B29,LEN(B29)-FIND("/", B29)))</f>
        <v>1</v>
      </c>
    </row>
    <row r="31" spans="1:9" x14ac:dyDescent="0.25">
      <c r="A31" s="15" t="s">
        <v>47</v>
      </c>
      <c r="B31" s="15"/>
      <c r="C31" s="13">
        <f>AVERAGE(D27:D29)</f>
        <v>126.93853304313801</v>
      </c>
    </row>
    <row r="32" spans="1:9" x14ac:dyDescent="0.25">
      <c r="A32" s="16" t="s">
        <v>47</v>
      </c>
      <c r="B32" s="16"/>
      <c r="C32" s="11">
        <f>AVERAGE(E27:E29)</f>
        <v>1.26938533043138E-2</v>
      </c>
    </row>
    <row r="33" spans="1:9" x14ac:dyDescent="0.25">
      <c r="A33" s="16" t="s">
        <v>48</v>
      </c>
      <c r="B33" s="16"/>
      <c r="C33" s="17" t="s">
        <v>76</v>
      </c>
      <c r="D33" s="17"/>
      <c r="E33" s="17"/>
      <c r="F33" s="17"/>
    </row>
    <row r="35" spans="1:9" x14ac:dyDescent="0.25">
      <c r="A35" s="14" t="s">
        <v>49</v>
      </c>
      <c r="B35" s="14"/>
    </row>
    <row r="36" spans="1:9" x14ac:dyDescent="0.25">
      <c r="A36" s="4" t="s">
        <v>32</v>
      </c>
      <c r="B36" s="4" t="s">
        <v>33</v>
      </c>
      <c r="C36" s="4" t="s">
        <v>34</v>
      </c>
      <c r="D36" s="4" t="s">
        <v>50</v>
      </c>
      <c r="E36" s="4" t="s">
        <v>51</v>
      </c>
    </row>
    <row r="37" spans="1:9" x14ac:dyDescent="0.25">
      <c r="A37" s="4" t="s">
        <v>19</v>
      </c>
      <c r="B37" s="5" t="str">
        <f>"1/1"</f>
        <v>1/1</v>
      </c>
      <c r="C37" s="7">
        <f>AVERAGE(2.047,2.216)</f>
        <v>2.1315</v>
      </c>
      <c r="D37" s="8">
        <f>((C37)*(H37)*(I37))/(G37*1)</f>
        <v>85.089820359281447</v>
      </c>
      <c r="E37" s="8">
        <f>D37/10000</f>
        <v>8.5089820359281441E-3</v>
      </c>
      <c r="G37" s="9">
        <f>digestion_page!B17</f>
        <v>1.2524999999999999</v>
      </c>
      <c r="H37" s="9">
        <f>digestion_page!C17</f>
        <v>50</v>
      </c>
      <c r="I37" s="9">
        <f>(LEFT(B37,FIND("/",B37)-1)/RIGHT(B37,LEN(B37)-FIND("/", B37)))</f>
        <v>1</v>
      </c>
    </row>
    <row r="38" spans="1:9" x14ac:dyDescent="0.25">
      <c r="A38" s="4" t="s">
        <v>20</v>
      </c>
      <c r="B38" s="5" t="str">
        <f>"1/1"</f>
        <v>1/1</v>
      </c>
      <c r="C38" s="7">
        <f>AVERAGE(2.074,2.243)</f>
        <v>2.1585000000000001</v>
      </c>
      <c r="D38" s="8">
        <f>((C38)*(H38)*(I38))/(G38*1)</f>
        <v>86.167664670658695</v>
      </c>
      <c r="E38" s="8">
        <f>D38/10000</f>
        <v>8.61676646706587E-3</v>
      </c>
      <c r="G38" s="9">
        <f>digestion_page!B18</f>
        <v>1.2524999999999999</v>
      </c>
      <c r="H38" s="9">
        <f>digestion_page!C18</f>
        <v>50</v>
      </c>
      <c r="I38" s="9">
        <f>(LEFT(B38,FIND("/",B38)-1)/RIGHT(B38,LEN(B38)-FIND("/", B38)))</f>
        <v>1</v>
      </c>
    </row>
    <row r="39" spans="1:9" x14ac:dyDescent="0.25">
      <c r="A39" s="4" t="s">
        <v>21</v>
      </c>
      <c r="B39" s="5" t="str">
        <f>"1/1"</f>
        <v>1/1</v>
      </c>
      <c r="C39" s="7">
        <f>AVERAGE(1.972,2.122)</f>
        <v>2.0469999999999997</v>
      </c>
      <c r="D39" s="8">
        <f>((C39)*(H39)*(I39))/(G39*1)</f>
        <v>81.599298413457689</v>
      </c>
      <c r="E39" s="8">
        <f>D39/10000</f>
        <v>8.1599298413457689E-3</v>
      </c>
      <c r="G39" s="9">
        <f>digestion_page!B19</f>
        <v>1.2543</v>
      </c>
      <c r="H39" s="9">
        <f>digestion_page!C19</f>
        <v>50</v>
      </c>
      <c r="I39" s="9">
        <f>(LEFT(B39,FIND("/",B39)-1)/RIGHT(B39,LEN(B39)-FIND("/", B39)))</f>
        <v>1</v>
      </c>
    </row>
    <row r="41" spans="1:9" x14ac:dyDescent="0.25">
      <c r="A41" s="15" t="s">
        <v>52</v>
      </c>
      <c r="B41" s="15"/>
      <c r="C41" s="13">
        <f>AVERAGE(D37:D39)</f>
        <v>84.285594481132605</v>
      </c>
    </row>
    <row r="42" spans="1:9" x14ac:dyDescent="0.25">
      <c r="A42" s="16" t="s">
        <v>52</v>
      </c>
      <c r="B42" s="16"/>
      <c r="C42" s="11">
        <f>AVERAGE(E37:E39)</f>
        <v>8.4285594481132622E-3</v>
      </c>
    </row>
    <row r="43" spans="1:9" x14ac:dyDescent="0.25">
      <c r="A43" s="16" t="s">
        <v>53</v>
      </c>
      <c r="B43" s="16"/>
      <c r="C43" s="17" t="s">
        <v>77</v>
      </c>
      <c r="D43" s="17"/>
      <c r="E43" s="17"/>
      <c r="F43" s="17"/>
    </row>
    <row r="45" spans="1:9" x14ac:dyDescent="0.25">
      <c r="A45" s="14" t="s">
        <v>54</v>
      </c>
      <c r="B45" s="14"/>
    </row>
    <row r="46" spans="1:9" x14ac:dyDescent="0.25">
      <c r="A46" s="4" t="s">
        <v>32</v>
      </c>
      <c r="B46" s="4" t="s">
        <v>33</v>
      </c>
      <c r="C46" s="4" t="s">
        <v>34</v>
      </c>
      <c r="D46" s="4" t="s">
        <v>55</v>
      </c>
      <c r="E46" s="4" t="s">
        <v>56</v>
      </c>
    </row>
    <row r="47" spans="1:9" x14ac:dyDescent="0.25">
      <c r="A47" s="4" t="s">
        <v>19</v>
      </c>
      <c r="B47" s="5" t="str">
        <f>"10/1"</f>
        <v>10/1</v>
      </c>
      <c r="C47" s="7">
        <f>AVERAGE(0.357,0.355)</f>
        <v>0.35599999999999998</v>
      </c>
      <c r="D47" s="8">
        <f>((C47)*(H47)*(I47))/(G47*1)</f>
        <v>142.11576846307386</v>
      </c>
      <c r="E47" s="8">
        <f>D47/10000</f>
        <v>1.4211576846307387E-2</v>
      </c>
      <c r="G47" s="9">
        <f>digestion_page!B17</f>
        <v>1.2524999999999999</v>
      </c>
      <c r="H47" s="9">
        <f>digestion_page!C17</f>
        <v>50</v>
      </c>
      <c r="I47" s="9">
        <f>(LEFT(B47,FIND("/",B47)-1)/RIGHT(B47,LEN(B47)-FIND("/", B47)))</f>
        <v>10</v>
      </c>
    </row>
    <row r="48" spans="1:9" x14ac:dyDescent="0.25">
      <c r="A48" s="4" t="s">
        <v>20</v>
      </c>
      <c r="B48" s="5" t="str">
        <f t="shared" ref="B48:B49" si="0">"10/1"</f>
        <v>10/1</v>
      </c>
      <c r="C48" s="7">
        <f>AVERAGE(0.342,0.339)</f>
        <v>0.34050000000000002</v>
      </c>
      <c r="D48" s="8">
        <f>((C48)*(H48)*(I48))/(G48*1)</f>
        <v>135.92814371257487</v>
      </c>
      <c r="E48" s="8">
        <f>D48/10000</f>
        <v>1.3592814371257486E-2</v>
      </c>
      <c r="G48" s="9">
        <f>digestion_page!B18</f>
        <v>1.2524999999999999</v>
      </c>
      <c r="H48" s="9">
        <f>digestion_page!C18</f>
        <v>50</v>
      </c>
      <c r="I48" s="9">
        <f>(LEFT(B48,FIND("/",B48)-1)/RIGHT(B48,LEN(B48)-FIND("/", B48)))</f>
        <v>10</v>
      </c>
    </row>
    <row r="49" spans="1:9" x14ac:dyDescent="0.25">
      <c r="A49" s="4" t="s">
        <v>21</v>
      </c>
      <c r="B49" s="5" t="str">
        <f t="shared" si="0"/>
        <v>10/1</v>
      </c>
      <c r="C49" s="7">
        <f>AVERAGE(0.321,0.321)</f>
        <v>0.32100000000000001</v>
      </c>
      <c r="D49" s="8">
        <f>((C49)*(H49)*(I49))/(G49*1)</f>
        <v>127.95981822530496</v>
      </c>
      <c r="E49" s="8">
        <f>D49/10000</f>
        <v>1.2795981822530497E-2</v>
      </c>
      <c r="G49" s="9">
        <f>digestion_page!B19</f>
        <v>1.2543</v>
      </c>
      <c r="H49" s="9">
        <f>digestion_page!C19</f>
        <v>50</v>
      </c>
      <c r="I49" s="9">
        <f>(LEFT(B49,FIND("/",B49)-1)/RIGHT(B49,LEN(B49)-FIND("/", B49)))</f>
        <v>10</v>
      </c>
    </row>
    <row r="51" spans="1:9" x14ac:dyDescent="0.25">
      <c r="A51" s="15" t="s">
        <v>57</v>
      </c>
      <c r="B51" s="15"/>
      <c r="C51" s="13">
        <f>AVERAGE(D47:D49)</f>
        <v>135.3345768003179</v>
      </c>
    </row>
    <row r="52" spans="1:9" x14ac:dyDescent="0.25">
      <c r="A52" s="16" t="s">
        <v>57</v>
      </c>
      <c r="B52" s="16"/>
      <c r="C52" s="11">
        <f>AVERAGE(E47:E49)</f>
        <v>1.3533457680031788E-2</v>
      </c>
    </row>
    <row r="53" spans="1:9" x14ac:dyDescent="0.25">
      <c r="A53" s="16" t="s">
        <v>58</v>
      </c>
      <c r="B53" s="16"/>
      <c r="C53" s="17" t="s">
        <v>78</v>
      </c>
      <c r="D53" s="17"/>
      <c r="E53" s="17"/>
      <c r="F53" s="17"/>
    </row>
    <row r="55" spans="1:9" x14ac:dyDescent="0.25">
      <c r="A55" s="14" t="s">
        <v>59</v>
      </c>
      <c r="B55" s="14"/>
    </row>
    <row r="56" spans="1:9" x14ac:dyDescent="0.25">
      <c r="A56" s="4" t="s">
        <v>32</v>
      </c>
      <c r="B56" s="4" t="s">
        <v>33</v>
      </c>
      <c r="C56" s="4" t="s">
        <v>34</v>
      </c>
      <c r="D56" s="4" t="s">
        <v>60</v>
      </c>
      <c r="E56" s="4" t="s">
        <v>61</v>
      </c>
    </row>
    <row r="57" spans="1:9" x14ac:dyDescent="0.25">
      <c r="A57" s="4" t="s">
        <v>19</v>
      </c>
      <c r="B57" s="5" t="str">
        <f>"10/1"</f>
        <v>10/1</v>
      </c>
      <c r="C57" s="7">
        <f>AVERAGE(0.544,0.544)</f>
        <v>0.54400000000000004</v>
      </c>
      <c r="D57" s="8">
        <f>((C57)*(H57)*(I57))/(G57*1)</f>
        <v>217.16566866267465</v>
      </c>
      <c r="E57" s="8">
        <f>D57/10000</f>
        <v>2.1716566866267464E-2</v>
      </c>
      <c r="G57" s="9">
        <f>digestion_page!B17</f>
        <v>1.2524999999999999</v>
      </c>
      <c r="H57" s="9">
        <f>digestion_page!C17</f>
        <v>50</v>
      </c>
      <c r="I57" s="9">
        <f>(LEFT(B57,FIND("/",B57)-1)/RIGHT(B57,LEN(B57)-FIND("/", B57)))</f>
        <v>10</v>
      </c>
    </row>
    <row r="58" spans="1:9" x14ac:dyDescent="0.25">
      <c r="A58" s="4" t="s">
        <v>20</v>
      </c>
      <c r="B58" s="5" t="str">
        <f t="shared" ref="B58:B59" si="1">"10/1"</f>
        <v>10/1</v>
      </c>
      <c r="C58" s="7">
        <f>AVERAGE(0.513,0.527)</f>
        <v>0.52</v>
      </c>
      <c r="D58" s="8">
        <f>((C58)*(H58)*(I58))/(G58*1)</f>
        <v>207.58483033932137</v>
      </c>
      <c r="E58" s="8">
        <f>D58/10000</f>
        <v>2.0758483033932136E-2</v>
      </c>
      <c r="G58" s="9">
        <f>digestion_page!B18</f>
        <v>1.2524999999999999</v>
      </c>
      <c r="H58" s="9">
        <f>digestion_page!C18</f>
        <v>50</v>
      </c>
      <c r="I58" s="9">
        <f>(LEFT(B58,FIND("/",B58)-1)/RIGHT(B58,LEN(B58)-FIND("/", B58)))</f>
        <v>10</v>
      </c>
    </row>
    <row r="59" spans="1:9" x14ac:dyDescent="0.25">
      <c r="A59" s="4" t="s">
        <v>21</v>
      </c>
      <c r="B59" s="5" t="str">
        <f t="shared" si="1"/>
        <v>10/1</v>
      </c>
      <c r="C59" s="7">
        <f>AVERAGE(0.505,0.509)</f>
        <v>0.50700000000000001</v>
      </c>
      <c r="D59" s="8">
        <f>((C59)*(H59)*(I59))/(G59*1)</f>
        <v>202.10475962688352</v>
      </c>
      <c r="E59" s="8">
        <f>D59/10000</f>
        <v>2.0210475962688351E-2</v>
      </c>
      <c r="G59" s="9">
        <f>digestion_page!B19</f>
        <v>1.2543</v>
      </c>
      <c r="H59" s="9">
        <f>digestion_page!C19</f>
        <v>50</v>
      </c>
      <c r="I59" s="9">
        <f>(LEFT(B59,FIND("/",B59)-1)/RIGHT(B59,LEN(B59)-FIND("/", B59)))</f>
        <v>10</v>
      </c>
    </row>
    <row r="61" spans="1:9" x14ac:dyDescent="0.25">
      <c r="A61" s="15" t="s">
        <v>62</v>
      </c>
      <c r="B61" s="15"/>
      <c r="C61" s="13">
        <f>AVERAGE(D57:D59)</f>
        <v>208.95175287629317</v>
      </c>
    </row>
    <row r="62" spans="1:9" x14ac:dyDescent="0.25">
      <c r="A62" s="16" t="s">
        <v>62</v>
      </c>
      <c r="B62" s="16"/>
      <c r="C62" s="11">
        <f>AVERAGE(E57:E59)</f>
        <v>2.0895175287629315E-2</v>
      </c>
    </row>
    <row r="63" spans="1:9" x14ac:dyDescent="0.25">
      <c r="A63" s="16" t="s">
        <v>63</v>
      </c>
      <c r="B63" s="16"/>
      <c r="C63" s="17" t="s">
        <v>79</v>
      </c>
      <c r="D63" s="17"/>
      <c r="E63" s="17"/>
      <c r="F63" s="17"/>
    </row>
    <row r="65" spans="1:9" x14ac:dyDescent="0.25">
      <c r="A65" s="14" t="s">
        <v>64</v>
      </c>
      <c r="B65" s="14"/>
    </row>
    <row r="66" spans="1:9" x14ac:dyDescent="0.25">
      <c r="A66" s="4" t="s">
        <v>32</v>
      </c>
      <c r="B66" s="4" t="s">
        <v>33</v>
      </c>
      <c r="C66" s="4" t="s">
        <v>34</v>
      </c>
      <c r="D66" s="4" t="s">
        <v>65</v>
      </c>
      <c r="E66" s="4" t="s">
        <v>66</v>
      </c>
    </row>
    <row r="67" spans="1:9" x14ac:dyDescent="0.25">
      <c r="A67" s="4" t="s">
        <v>19</v>
      </c>
      <c r="B67" s="5" t="str">
        <f>"1/1"</f>
        <v>1/1</v>
      </c>
      <c r="C67" s="7">
        <v>2.0259999999999998</v>
      </c>
      <c r="D67" s="8">
        <f>((C67)*(H67)*(I67))/(G67*1)</f>
        <v>80.878243512974038</v>
      </c>
      <c r="E67" s="8">
        <f>D67/10000</f>
        <v>8.087824351297403E-3</v>
      </c>
      <c r="G67" s="9">
        <f>digestion_page!B17</f>
        <v>1.2524999999999999</v>
      </c>
      <c r="H67" s="9">
        <f>digestion_page!C17</f>
        <v>50</v>
      </c>
      <c r="I67" s="9">
        <f>(LEFT(B67,FIND("/",B67)-1)/RIGHT(B67,LEN(B67)-FIND("/", B67)))</f>
        <v>1</v>
      </c>
    </row>
    <row r="68" spans="1:9" x14ac:dyDescent="0.25">
      <c r="A68" s="4" t="s">
        <v>20</v>
      </c>
      <c r="B68" s="5" t="str">
        <f>"1/1"</f>
        <v>1/1</v>
      </c>
      <c r="C68" s="7">
        <v>2.0550000000000002</v>
      </c>
      <c r="D68" s="8">
        <f>((C68)*(H68)*(I68))/(G68*1)</f>
        <v>82.035928143712596</v>
      </c>
      <c r="E68" s="8">
        <f>D68/10000</f>
        <v>8.2035928143712588E-3</v>
      </c>
      <c r="G68" s="9">
        <f>digestion_page!B18</f>
        <v>1.2524999999999999</v>
      </c>
      <c r="H68" s="9">
        <f>digestion_page!C18</f>
        <v>50</v>
      </c>
      <c r="I68" s="9">
        <f>(LEFT(B68,FIND("/",B68)-1)/RIGHT(B68,LEN(B68)-FIND("/", B68)))</f>
        <v>1</v>
      </c>
    </row>
    <row r="69" spans="1:9" x14ac:dyDescent="0.25">
      <c r="A69" s="4" t="s">
        <v>21</v>
      </c>
      <c r="B69" s="5" t="str">
        <f>"1/1"</f>
        <v>1/1</v>
      </c>
      <c r="C69" s="7">
        <v>1.9930000000000001</v>
      </c>
      <c r="D69" s="8">
        <f>((C69)*(H69)*(I69))/(G69*1)</f>
        <v>79.446703340508662</v>
      </c>
      <c r="E69" s="8">
        <f>D69/10000</f>
        <v>7.944670334050866E-3</v>
      </c>
      <c r="G69" s="9">
        <f>digestion_page!B19</f>
        <v>1.2543</v>
      </c>
      <c r="H69" s="9">
        <f>digestion_page!C19</f>
        <v>50</v>
      </c>
      <c r="I69" s="9">
        <f>(LEFT(B69,FIND("/",B69)-1)/RIGHT(B69,LEN(B69)-FIND("/", B69)))</f>
        <v>1</v>
      </c>
    </row>
    <row r="71" spans="1:9" x14ac:dyDescent="0.25">
      <c r="A71" s="15" t="s">
        <v>67</v>
      </c>
      <c r="B71" s="15"/>
      <c r="C71" s="13">
        <f>AVERAGE(D67:D69)</f>
        <v>80.786958332398427</v>
      </c>
    </row>
    <row r="72" spans="1:9" x14ac:dyDescent="0.25">
      <c r="A72" s="16" t="s">
        <v>67</v>
      </c>
      <c r="B72" s="16"/>
      <c r="C72" s="11">
        <f>AVERAGE(E67:E69)</f>
        <v>8.078695833239842E-3</v>
      </c>
    </row>
    <row r="73" spans="1:9" x14ac:dyDescent="0.25">
      <c r="A73" s="16" t="s">
        <v>68</v>
      </c>
      <c r="B73" s="16"/>
      <c r="C73" s="17" t="s">
        <v>80</v>
      </c>
      <c r="D73" s="17"/>
      <c r="E73" s="17"/>
      <c r="F73" s="17"/>
    </row>
    <row r="75" spans="1:9" x14ac:dyDescent="0.25">
      <c r="A75" s="14" t="s">
        <v>69</v>
      </c>
      <c r="B75" s="14"/>
    </row>
    <row r="76" spans="1:9" x14ac:dyDescent="0.25">
      <c r="A76" s="4" t="s">
        <v>32</v>
      </c>
      <c r="B76" s="4" t="s">
        <v>33</v>
      </c>
      <c r="C76" s="4" t="s">
        <v>34</v>
      </c>
      <c r="D76" s="4" t="s">
        <v>70</v>
      </c>
      <c r="E76" s="4" t="s">
        <v>71</v>
      </c>
    </row>
    <row r="77" spans="1:9" x14ac:dyDescent="0.25">
      <c r="A77" s="4" t="s">
        <v>19</v>
      </c>
      <c r="B77" s="5" t="str">
        <f>"1/1"</f>
        <v>1/1</v>
      </c>
      <c r="C77" s="7">
        <f>AVERAGE(1.338,1.408)</f>
        <v>1.373</v>
      </c>
      <c r="D77" s="8">
        <f>((C77)*(H77)*(I77))/(G77*1)</f>
        <v>54.810379241516976</v>
      </c>
      <c r="E77" s="8">
        <f>D77/10000</f>
        <v>5.4810379241516972E-3</v>
      </c>
      <c r="G77" s="9">
        <f>digestion_page!B17</f>
        <v>1.2524999999999999</v>
      </c>
      <c r="H77" s="9">
        <f>digestion_page!C17</f>
        <v>50</v>
      </c>
      <c r="I77" s="9">
        <f>(LEFT(B77,FIND("/",B77)-1)/RIGHT(B77,LEN(B77)-FIND("/", B77)))</f>
        <v>1</v>
      </c>
    </row>
    <row r="78" spans="1:9" x14ac:dyDescent="0.25">
      <c r="A78" s="4" t="s">
        <v>20</v>
      </c>
      <c r="B78" s="5" t="str">
        <f>"1/1"</f>
        <v>1/1</v>
      </c>
      <c r="C78" s="7">
        <f>AVERAGE(1.356,1.424)</f>
        <v>1.3900000000000001</v>
      </c>
      <c r="D78" s="8">
        <f>((C78)*(H78)*(I78))/(G78*1)</f>
        <v>55.489021956087825</v>
      </c>
      <c r="E78" s="8">
        <f>D78/10000</f>
        <v>5.5489021956087823E-3</v>
      </c>
      <c r="G78" s="9">
        <f>digestion_page!B18</f>
        <v>1.2524999999999999</v>
      </c>
      <c r="H78" s="9">
        <f>digestion_page!C18</f>
        <v>50</v>
      </c>
      <c r="I78" s="9">
        <f>(LEFT(B78,FIND("/",B78)-1)/RIGHT(B78,LEN(B78)-FIND("/", B78)))</f>
        <v>1</v>
      </c>
    </row>
    <row r="79" spans="1:9" x14ac:dyDescent="0.25">
      <c r="A79" s="4" t="s">
        <v>21</v>
      </c>
      <c r="B79" s="5" t="str">
        <f>"1/1"</f>
        <v>1/1</v>
      </c>
      <c r="C79" s="7">
        <f>AVERAGE(1.315,1.368)</f>
        <v>1.3414999999999999</v>
      </c>
      <c r="D79" s="8">
        <f>((C79)*(H79)*(I79))/(G79*1)</f>
        <v>53.476042414095502</v>
      </c>
      <c r="E79" s="8">
        <f>D79/10000</f>
        <v>5.3476042414095501E-3</v>
      </c>
      <c r="G79" s="9">
        <f>digestion_page!B19</f>
        <v>1.2543</v>
      </c>
      <c r="H79" s="9">
        <f>digestion_page!C19</f>
        <v>50</v>
      </c>
      <c r="I79" s="9">
        <f>(LEFT(B79,FIND("/",B79)-1)/RIGHT(B79,LEN(B79)-FIND("/", B79)))</f>
        <v>1</v>
      </c>
    </row>
    <row r="81" spans="1:6" x14ac:dyDescent="0.25">
      <c r="A81" s="15" t="s">
        <v>72</v>
      </c>
      <c r="B81" s="15"/>
      <c r="C81" s="13">
        <f>AVERAGE(D77:D79)</f>
        <v>54.591814537233432</v>
      </c>
    </row>
    <row r="82" spans="1:6" x14ac:dyDescent="0.25">
      <c r="A82" s="16" t="s">
        <v>72</v>
      </c>
      <c r="B82" s="16"/>
      <c r="C82" s="11">
        <f>AVERAGE(E77:E79)</f>
        <v>5.4591814537233432E-3</v>
      </c>
    </row>
    <row r="83" spans="1:6" x14ac:dyDescent="0.25">
      <c r="A83" s="16" t="s">
        <v>73</v>
      </c>
      <c r="B83" s="16"/>
      <c r="C83" s="17" t="s">
        <v>81</v>
      </c>
      <c r="D83" s="17"/>
      <c r="E83" s="17"/>
      <c r="F83" s="17"/>
    </row>
    <row r="85" spans="1:6" x14ac:dyDescent="0.25">
      <c r="B85" s="10" t="s">
        <v>82</v>
      </c>
      <c r="C85" s="18"/>
      <c r="D85" s="18"/>
      <c r="E85" s="18"/>
      <c r="F85" s="18"/>
    </row>
    <row r="86" spans="1:6" x14ac:dyDescent="0.25">
      <c r="C86" s="18"/>
      <c r="D86" s="18"/>
      <c r="E86" s="18"/>
      <c r="F86" s="18"/>
    </row>
    <row r="87" spans="1:6" x14ac:dyDescent="0.25">
      <c r="C87" s="18"/>
      <c r="D87" s="18"/>
      <c r="E87" s="18"/>
      <c r="F87" s="18"/>
    </row>
  </sheetData>
  <mergeCells count="41">
    <mergeCell ref="C85:F87"/>
    <mergeCell ref="A73:B73"/>
    <mergeCell ref="C73:F73"/>
    <mergeCell ref="A75:B75"/>
    <mergeCell ref="A81:B81"/>
    <mergeCell ref="A82:B82"/>
    <mergeCell ref="A65:B65"/>
    <mergeCell ref="A71:B71"/>
    <mergeCell ref="A72:B72"/>
    <mergeCell ref="A83:B83"/>
    <mergeCell ref="C83:F83"/>
    <mergeCell ref="A55:B55"/>
    <mergeCell ref="A61:B61"/>
    <mergeCell ref="A62:B62"/>
    <mergeCell ref="A63:B63"/>
    <mergeCell ref="C63:F63"/>
    <mergeCell ref="A45:B45"/>
    <mergeCell ref="A51:B51"/>
    <mergeCell ref="A52:B52"/>
    <mergeCell ref="A53:B53"/>
    <mergeCell ref="C53:F53"/>
    <mergeCell ref="A35:B35"/>
    <mergeCell ref="A41:B41"/>
    <mergeCell ref="A42:B42"/>
    <mergeCell ref="A43:B43"/>
    <mergeCell ref="C43:F43"/>
    <mergeCell ref="A25:B25"/>
    <mergeCell ref="A31:B31"/>
    <mergeCell ref="A32:B32"/>
    <mergeCell ref="A33:B33"/>
    <mergeCell ref="C33:F33"/>
    <mergeCell ref="A15:B15"/>
    <mergeCell ref="A21:B21"/>
    <mergeCell ref="A22:B22"/>
    <mergeCell ref="A23:B23"/>
    <mergeCell ref="C23:F23"/>
    <mergeCell ref="A5:B5"/>
    <mergeCell ref="A11:B11"/>
    <mergeCell ref="A12:B12"/>
    <mergeCell ref="A13:B13"/>
    <mergeCell ref="C13:F13"/>
  </mergeCells>
  <conditionalFormatting sqref="C13:F13">
    <cfRule type="containsBlanks" dxfId="31" priority="1">
      <formula>LEN(TRIM(C13))=0</formula>
    </cfRule>
  </conditionalFormatting>
  <conditionalFormatting sqref="C23:F23">
    <cfRule type="containsBlanks" dxfId="30" priority="2">
      <formula>LEN(TRIM(C23))=0</formula>
    </cfRule>
  </conditionalFormatting>
  <conditionalFormatting sqref="C33:F33">
    <cfRule type="containsBlanks" dxfId="29" priority="3">
      <formula>LEN(TRIM(C33))=0</formula>
    </cfRule>
  </conditionalFormatting>
  <conditionalFormatting sqref="C43:F43">
    <cfRule type="containsBlanks" dxfId="28" priority="4">
      <formula>LEN(TRIM(C43))=0</formula>
    </cfRule>
  </conditionalFormatting>
  <conditionalFormatting sqref="C53:F53">
    <cfRule type="containsBlanks" dxfId="27" priority="5">
      <formula>LEN(TRIM(C53))=0</formula>
    </cfRule>
  </conditionalFormatting>
  <conditionalFormatting sqref="C63:F63">
    <cfRule type="containsBlanks" dxfId="26" priority="6">
      <formula>LEN(TRIM(C63))=0</formula>
    </cfRule>
  </conditionalFormatting>
  <conditionalFormatting sqref="C73:F73">
    <cfRule type="containsBlanks" dxfId="25" priority="7">
      <formula>LEN(TRIM(C73))=0</formula>
    </cfRule>
  </conditionalFormatting>
  <conditionalFormatting sqref="C83:F83">
    <cfRule type="containsBlanks" dxfId="24" priority="8">
      <formula>LEN(TRIM(C83))=0</formula>
    </cfRule>
  </conditionalFormatting>
  <pageMargins left="0.7" right="0.7" top="0.75" bottom="0.75" header="0.3" footer="0.3"/>
  <pageSetup scale="53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87"/>
  <sheetViews>
    <sheetView zoomScaleNormal="100" workbookViewId="0">
      <selection activeCell="A31" sqref="A31:B31"/>
    </sheetView>
  </sheetViews>
  <sheetFormatPr defaultRowHeight="15" x14ac:dyDescent="0.25"/>
  <cols>
    <col min="1" max="1" width="14.42578125" bestFit="1" customWidth="1"/>
    <col min="2" max="2" width="10.7109375" bestFit="1" customWidth="1"/>
    <col min="3" max="3" width="12.7109375" customWidth="1"/>
    <col min="4" max="4" width="8.42578125" bestFit="1" customWidth="1"/>
    <col min="5" max="5" width="7.7109375" customWidth="1"/>
    <col min="6" max="6" width="19.42578125" customWidth="1"/>
    <col min="7" max="78" width="7.7109375" customWidth="1"/>
  </cols>
  <sheetData>
    <row r="1" spans="1:9" x14ac:dyDescent="0.25">
      <c r="A1" s="1" t="s">
        <v>0</v>
      </c>
      <c r="B1" s="2">
        <v>46216</v>
      </c>
    </row>
    <row r="2" spans="1:9" x14ac:dyDescent="0.25">
      <c r="A2" s="1" t="s">
        <v>1</v>
      </c>
      <c r="B2" s="3" t="s">
        <v>2</v>
      </c>
    </row>
    <row r="5" spans="1:9" x14ac:dyDescent="0.25">
      <c r="A5" s="14" t="s">
        <v>31</v>
      </c>
      <c r="B5" s="14"/>
    </row>
    <row r="6" spans="1:9" x14ac:dyDescent="0.25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</row>
    <row r="7" spans="1:9" x14ac:dyDescent="0.25">
      <c r="A7" s="4" t="s">
        <v>22</v>
      </c>
      <c r="B7" s="5" t="str">
        <f>"1/1"</f>
        <v>1/1</v>
      </c>
      <c r="C7" s="7">
        <f>AVERAGE(3.295,3.169,3.367)</f>
        <v>3.2769999999999997</v>
      </c>
      <c r="D7" s="8">
        <f>((C7)*(H7)*(I7))/(G7*1)</f>
        <v>130.5057745917961</v>
      </c>
      <c r="E7" s="8">
        <f>D7/10000</f>
        <v>1.305057745917961E-2</v>
      </c>
      <c r="G7" s="9">
        <f>digestion_page!B20</f>
        <v>1.2555000000000001</v>
      </c>
      <c r="H7" s="9">
        <f>digestion_page!C20</f>
        <v>50</v>
      </c>
      <c r="I7" s="9">
        <f>(LEFT(B7,FIND("/",B7)-1)/RIGHT(B7,LEN(B7)-FIND("/", B7)))</f>
        <v>1</v>
      </c>
    </row>
    <row r="8" spans="1:9" x14ac:dyDescent="0.25">
      <c r="A8" s="4" t="s">
        <v>23</v>
      </c>
      <c r="B8" s="5" t="str">
        <f>"1/1"</f>
        <v>1/1</v>
      </c>
      <c r="C8" s="7">
        <f>AVERAGE(3.192,3.083,3.29)</f>
        <v>3.1883333333333339</v>
      </c>
      <c r="D8" s="8">
        <f>((C8)*(H8)*(I8))/(G8*1)</f>
        <v>127.02523240371849</v>
      </c>
      <c r="E8" s="8">
        <f>D8/10000</f>
        <v>1.2702523240371849E-2</v>
      </c>
      <c r="G8" s="9">
        <f>digestion_page!B21</f>
        <v>1.2549999999999999</v>
      </c>
      <c r="H8" s="9">
        <f>digestion_page!C21</f>
        <v>50</v>
      </c>
      <c r="I8" s="9">
        <f>(LEFT(B8,FIND("/",B8)-1)/RIGHT(B8,LEN(B8)-FIND("/", B8)))</f>
        <v>1</v>
      </c>
    </row>
    <row r="9" spans="1:9" x14ac:dyDescent="0.25">
      <c r="A9" s="4" t="s">
        <v>24</v>
      </c>
      <c r="B9" s="5" t="str">
        <f>"1/1"</f>
        <v>1/1</v>
      </c>
      <c r="C9" s="7">
        <f>AVERAGE(3.322,3.208,3.415)</f>
        <v>3.3149999999999999</v>
      </c>
      <c r="D9" s="8">
        <f>((C9)*(H9)*(I9))/(G9*1)</f>
        <v>132.13488520408163</v>
      </c>
      <c r="E9" s="8">
        <f>D9/10000</f>
        <v>1.3213488520408163E-2</v>
      </c>
      <c r="G9" s="9">
        <f>digestion_page!B22</f>
        <v>1.2544</v>
      </c>
      <c r="H9" s="9">
        <f>digestion_page!C22</f>
        <v>50</v>
      </c>
      <c r="I9" s="9">
        <f>(LEFT(B9,FIND("/",B9)-1)/RIGHT(B9,LEN(B9)-FIND("/", B9)))</f>
        <v>1</v>
      </c>
    </row>
    <row r="11" spans="1:9" x14ac:dyDescent="0.25">
      <c r="A11" s="15" t="s">
        <v>37</v>
      </c>
      <c r="B11" s="15"/>
      <c r="C11" s="13">
        <f>AVERAGE(D7:D9)</f>
        <v>129.88863073319874</v>
      </c>
    </row>
    <row r="12" spans="1:9" x14ac:dyDescent="0.25">
      <c r="A12" s="16" t="s">
        <v>37</v>
      </c>
      <c r="B12" s="16"/>
      <c r="C12" s="11">
        <f>AVERAGE(E7:E9)</f>
        <v>1.2988863073319874E-2</v>
      </c>
    </row>
    <row r="13" spans="1:9" x14ac:dyDescent="0.25">
      <c r="A13" s="16" t="s">
        <v>38</v>
      </c>
      <c r="B13" s="16"/>
      <c r="C13" s="17" t="s">
        <v>74</v>
      </c>
      <c r="D13" s="17"/>
      <c r="E13" s="17"/>
      <c r="F13" s="17"/>
    </row>
    <row r="15" spans="1:9" x14ac:dyDescent="0.25">
      <c r="A15" s="14" t="s">
        <v>39</v>
      </c>
      <c r="B15" s="14"/>
    </row>
    <row r="16" spans="1:9" x14ac:dyDescent="0.25">
      <c r="A16" s="4" t="s">
        <v>32</v>
      </c>
      <c r="B16" s="4" t="s">
        <v>33</v>
      </c>
      <c r="C16" s="4" t="s">
        <v>34</v>
      </c>
      <c r="D16" s="4" t="s">
        <v>40</v>
      </c>
      <c r="E16" s="4" t="s">
        <v>41</v>
      </c>
    </row>
    <row r="17" spans="1:9" x14ac:dyDescent="0.25">
      <c r="A17" s="4" t="s">
        <v>22</v>
      </c>
      <c r="B17" s="5" t="str">
        <f>"1/1"</f>
        <v>1/1</v>
      </c>
      <c r="C17" s="7">
        <f>AVERAGE(1.629,1.521,1.549)</f>
        <v>1.5663333333333334</v>
      </c>
      <c r="D17" s="8">
        <f>((C17)*(H17)*(I17))/(G17*1)</f>
        <v>62.378866321518643</v>
      </c>
      <c r="E17" s="8">
        <f>D17/10000</f>
        <v>6.2378866321518645E-3</v>
      </c>
      <c r="G17" s="9">
        <f>digestion_page!B20</f>
        <v>1.2555000000000001</v>
      </c>
      <c r="H17" s="9">
        <f>digestion_page!C20</f>
        <v>50</v>
      </c>
      <c r="I17" s="9">
        <f>(LEFT(B17,FIND("/",B17)-1)/RIGHT(B17,LEN(B17)-FIND("/", B17)))</f>
        <v>1</v>
      </c>
    </row>
    <row r="18" spans="1:9" x14ac:dyDescent="0.25">
      <c r="A18" s="4" t="s">
        <v>23</v>
      </c>
      <c r="B18" s="5" t="str">
        <f>"1/1"</f>
        <v>1/1</v>
      </c>
      <c r="C18" s="7">
        <f>AVERAGE(1.573,1.46,1.496)</f>
        <v>1.5096666666666667</v>
      </c>
      <c r="D18" s="8">
        <f>((C18)*(H18)*(I18))/(G18*1)</f>
        <v>60.146082337317402</v>
      </c>
      <c r="E18" s="8">
        <f>D18/10000</f>
        <v>6.01460823373174E-3</v>
      </c>
      <c r="G18" s="9">
        <f>digestion_page!B21</f>
        <v>1.2549999999999999</v>
      </c>
      <c r="H18" s="9">
        <f>digestion_page!C21</f>
        <v>50</v>
      </c>
      <c r="I18" s="9">
        <f>(LEFT(B18,FIND("/",B18)-1)/RIGHT(B18,LEN(B18)-FIND("/", B18)))</f>
        <v>1</v>
      </c>
    </row>
    <row r="19" spans="1:9" x14ac:dyDescent="0.25">
      <c r="A19" s="4" t="s">
        <v>24</v>
      </c>
      <c r="B19" s="5" t="str">
        <f>"1/1"</f>
        <v>1/1</v>
      </c>
      <c r="C19" s="7">
        <f>AVERAGE(1.652,1.524,1.539)</f>
        <v>1.5716666666666665</v>
      </c>
      <c r="D19" s="8">
        <f>((C19)*(H19)*(I19))/(G19*1)</f>
        <v>62.646152210884352</v>
      </c>
      <c r="E19" s="8">
        <f>D19/10000</f>
        <v>6.2646152210884352E-3</v>
      </c>
      <c r="G19" s="9">
        <f>digestion_page!B22</f>
        <v>1.2544</v>
      </c>
      <c r="H19" s="9">
        <f>digestion_page!C22</f>
        <v>50</v>
      </c>
      <c r="I19" s="9">
        <f>(LEFT(B19,FIND("/",B19)-1)/RIGHT(B19,LEN(B19)-FIND("/", B19)))</f>
        <v>1</v>
      </c>
    </row>
    <row r="21" spans="1:9" x14ac:dyDescent="0.25">
      <c r="A21" s="15" t="s">
        <v>42</v>
      </c>
      <c r="B21" s="15"/>
      <c r="C21" s="13">
        <f>AVERAGE(D17:D19)</f>
        <v>61.723700289906809</v>
      </c>
    </row>
    <row r="22" spans="1:9" x14ac:dyDescent="0.25">
      <c r="A22" s="16" t="s">
        <v>42</v>
      </c>
      <c r="B22" s="16"/>
      <c r="C22" s="11">
        <f>AVERAGE(E17:E19)</f>
        <v>6.1723700289906787E-3</v>
      </c>
    </row>
    <row r="23" spans="1:9" x14ac:dyDescent="0.25">
      <c r="A23" s="16" t="s">
        <v>43</v>
      </c>
      <c r="B23" s="16"/>
      <c r="C23" s="17" t="s">
        <v>75</v>
      </c>
      <c r="D23" s="17"/>
      <c r="E23" s="17"/>
      <c r="F23" s="17"/>
    </row>
    <row r="25" spans="1:9" x14ac:dyDescent="0.25">
      <c r="A25" s="14" t="s">
        <v>44</v>
      </c>
      <c r="B25" s="14"/>
    </row>
    <row r="26" spans="1:9" x14ac:dyDescent="0.25">
      <c r="A26" s="4" t="s">
        <v>32</v>
      </c>
      <c r="B26" s="4" t="s">
        <v>33</v>
      </c>
      <c r="C26" s="4" t="s">
        <v>34</v>
      </c>
      <c r="D26" s="4" t="s">
        <v>45</v>
      </c>
      <c r="E26" s="4" t="s">
        <v>46</v>
      </c>
    </row>
    <row r="27" spans="1:9" x14ac:dyDescent="0.25">
      <c r="A27" s="4" t="s">
        <v>22</v>
      </c>
      <c r="B27" s="5" t="str">
        <f>"1/1"</f>
        <v>1/1</v>
      </c>
      <c r="C27" s="7">
        <v>3.9849999999999999</v>
      </c>
      <c r="D27" s="8">
        <f>((C27)*(H27)*(I27))/(G27*1)</f>
        <v>158.70171246515332</v>
      </c>
      <c r="E27" s="8">
        <f>D27/10000</f>
        <v>1.5870171246515331E-2</v>
      </c>
      <c r="G27" s="9">
        <f>digestion_page!B20</f>
        <v>1.2555000000000001</v>
      </c>
      <c r="H27" s="9">
        <f>digestion_page!C20</f>
        <v>50</v>
      </c>
      <c r="I27" s="9">
        <f>(LEFT(B27,FIND("/",B27)-1)/RIGHT(B27,LEN(B27)-FIND("/", B27)))</f>
        <v>1</v>
      </c>
    </row>
    <row r="28" spans="1:9" x14ac:dyDescent="0.25">
      <c r="A28" s="4" t="s">
        <v>23</v>
      </c>
      <c r="B28" s="5" t="str">
        <f>"1/1"</f>
        <v>1/1</v>
      </c>
      <c r="C28" s="7">
        <v>4.0629999999999997</v>
      </c>
      <c r="D28" s="8">
        <f>((C28)*(H28)*(I28))/(G28*1)</f>
        <v>161.87250996015936</v>
      </c>
      <c r="E28" s="8">
        <f>D28/10000</f>
        <v>1.6187250996015937E-2</v>
      </c>
      <c r="G28" s="9">
        <f>digestion_page!B21</f>
        <v>1.2549999999999999</v>
      </c>
      <c r="H28" s="9">
        <f>digestion_page!C21</f>
        <v>50</v>
      </c>
      <c r="I28" s="9">
        <f>(LEFT(B28,FIND("/",B28)-1)/RIGHT(B28,LEN(B28)-FIND("/", B28)))</f>
        <v>1</v>
      </c>
    </row>
    <row r="29" spans="1:9" x14ac:dyDescent="0.25">
      <c r="A29" s="4" t="s">
        <v>24</v>
      </c>
      <c r="B29" s="5" t="str">
        <f>"1/1"</f>
        <v>1/1</v>
      </c>
      <c r="C29" s="7">
        <v>4.0540000000000003</v>
      </c>
      <c r="D29" s="8">
        <f>((C29)*(H29)*(I29))/(G29*1)</f>
        <v>161.59119897959187</v>
      </c>
      <c r="E29" s="8">
        <f>D29/10000</f>
        <v>1.6159119897959186E-2</v>
      </c>
      <c r="G29" s="9">
        <f>digestion_page!B22</f>
        <v>1.2544</v>
      </c>
      <c r="H29" s="9">
        <f>digestion_page!C22</f>
        <v>50</v>
      </c>
      <c r="I29" s="9">
        <f>(LEFT(B29,FIND("/",B29)-1)/RIGHT(B29,LEN(B29)-FIND("/", B29)))</f>
        <v>1</v>
      </c>
    </row>
    <row r="31" spans="1:9" x14ac:dyDescent="0.25">
      <c r="A31" s="15" t="s">
        <v>47</v>
      </c>
      <c r="B31" s="15"/>
      <c r="C31" s="13">
        <f>AVERAGE(D27:D29)</f>
        <v>160.72180713496817</v>
      </c>
    </row>
    <row r="32" spans="1:9" x14ac:dyDescent="0.25">
      <c r="A32" s="16" t="s">
        <v>47</v>
      </c>
      <c r="B32" s="16"/>
      <c r="C32" s="11">
        <f>AVERAGE(E27:E29)</f>
        <v>1.6072180713496819E-2</v>
      </c>
    </row>
    <row r="33" spans="1:9" x14ac:dyDescent="0.25">
      <c r="A33" s="16" t="s">
        <v>48</v>
      </c>
      <c r="B33" s="16"/>
      <c r="C33" s="17" t="s">
        <v>76</v>
      </c>
      <c r="D33" s="17"/>
      <c r="E33" s="17"/>
      <c r="F33" s="17"/>
    </row>
    <row r="35" spans="1:9" x14ac:dyDescent="0.25">
      <c r="A35" s="14" t="s">
        <v>49</v>
      </c>
      <c r="B35" s="14"/>
    </row>
    <row r="36" spans="1:9" x14ac:dyDescent="0.25">
      <c r="A36" s="4" t="s">
        <v>32</v>
      </c>
      <c r="B36" s="4" t="s">
        <v>33</v>
      </c>
      <c r="C36" s="4" t="s">
        <v>34</v>
      </c>
      <c r="D36" s="4" t="s">
        <v>50</v>
      </c>
      <c r="E36" s="4" t="s">
        <v>51</v>
      </c>
    </row>
    <row r="37" spans="1:9" x14ac:dyDescent="0.25">
      <c r="A37" s="4" t="s">
        <v>22</v>
      </c>
      <c r="B37" s="5" t="str">
        <f>"1/1"</f>
        <v>1/1</v>
      </c>
      <c r="C37" s="7">
        <f>AVERAGE(1.695,1.947)</f>
        <v>1.8210000000000002</v>
      </c>
      <c r="D37" s="8">
        <f>((C37)*(H37)*(I37))/(G37*1)</f>
        <v>72.520908004778974</v>
      </c>
      <c r="E37" s="8">
        <f>D37/10000</f>
        <v>7.2520908004778976E-3</v>
      </c>
      <c r="G37" s="9">
        <f>digestion_page!B20</f>
        <v>1.2555000000000001</v>
      </c>
      <c r="H37" s="9">
        <f>digestion_page!C20</f>
        <v>50</v>
      </c>
      <c r="I37" s="9">
        <f>(LEFT(B37,FIND("/",B37)-1)/RIGHT(B37,LEN(B37)-FIND("/", B37)))</f>
        <v>1</v>
      </c>
    </row>
    <row r="38" spans="1:9" x14ac:dyDescent="0.25">
      <c r="A38" s="4" t="s">
        <v>23</v>
      </c>
      <c r="B38" s="5" t="str">
        <f>"1/1"</f>
        <v>1/1</v>
      </c>
      <c r="C38" s="7">
        <f>AVERAGE(1.584,1.835)</f>
        <v>1.7095</v>
      </c>
      <c r="D38" s="8">
        <f>((C38)*(H38)*(I38))/(G38*1)</f>
        <v>68.107569721115539</v>
      </c>
      <c r="E38" s="8">
        <f>D38/10000</f>
        <v>6.8107569721115539E-3</v>
      </c>
      <c r="G38" s="9">
        <f>digestion_page!B21</f>
        <v>1.2549999999999999</v>
      </c>
      <c r="H38" s="9">
        <f>digestion_page!C21</f>
        <v>50</v>
      </c>
      <c r="I38" s="9">
        <f>(LEFT(B38,FIND("/",B38)-1)/RIGHT(B38,LEN(B38)-FIND("/", B38)))</f>
        <v>1</v>
      </c>
    </row>
    <row r="39" spans="1:9" x14ac:dyDescent="0.25">
      <c r="A39" s="4" t="s">
        <v>24</v>
      </c>
      <c r="B39" s="5" t="str">
        <f>"1/1"</f>
        <v>1/1</v>
      </c>
      <c r="C39" s="7">
        <f>AVERAGE(1.646,1.9)</f>
        <v>1.7729999999999999</v>
      </c>
      <c r="D39" s="8">
        <f>((C39)*(H39)*(I39))/(G39*1)</f>
        <v>70.671237244897952</v>
      </c>
      <c r="E39" s="8">
        <f>D39/10000</f>
        <v>7.0671237244897952E-3</v>
      </c>
      <c r="G39" s="9">
        <f>digestion_page!B22</f>
        <v>1.2544</v>
      </c>
      <c r="H39" s="9">
        <f>digestion_page!C22</f>
        <v>50</v>
      </c>
      <c r="I39" s="9">
        <f>(LEFT(B39,FIND("/",B39)-1)/RIGHT(B39,LEN(B39)-FIND("/", B39)))</f>
        <v>1</v>
      </c>
    </row>
    <row r="41" spans="1:9" x14ac:dyDescent="0.25">
      <c r="A41" s="15" t="s">
        <v>52</v>
      </c>
      <c r="B41" s="15"/>
      <c r="C41" s="13">
        <f>AVERAGE(D37:D39)</f>
        <v>70.433238323597493</v>
      </c>
    </row>
    <row r="42" spans="1:9" x14ac:dyDescent="0.25">
      <c r="A42" s="16" t="s">
        <v>52</v>
      </c>
      <c r="B42" s="16"/>
      <c r="C42" s="11">
        <f>AVERAGE(E37:E39)</f>
        <v>7.0433238323597486E-3</v>
      </c>
    </row>
    <row r="43" spans="1:9" x14ac:dyDescent="0.25">
      <c r="A43" s="16" t="s">
        <v>53</v>
      </c>
      <c r="B43" s="16"/>
      <c r="C43" s="17" t="s">
        <v>77</v>
      </c>
      <c r="D43" s="17"/>
      <c r="E43" s="17"/>
      <c r="F43" s="17"/>
    </row>
    <row r="45" spans="1:9" x14ac:dyDescent="0.25">
      <c r="A45" s="14" t="s">
        <v>54</v>
      </c>
      <c r="B45" s="14"/>
    </row>
    <row r="46" spans="1:9" x14ac:dyDescent="0.25">
      <c r="A46" s="4" t="s">
        <v>32</v>
      </c>
      <c r="B46" s="4" t="s">
        <v>33</v>
      </c>
      <c r="C46" s="4" t="s">
        <v>34</v>
      </c>
      <c r="D46" s="4" t="s">
        <v>55</v>
      </c>
      <c r="E46" s="4" t="s">
        <v>56</v>
      </c>
    </row>
    <row r="47" spans="1:9" x14ac:dyDescent="0.25">
      <c r="A47" s="4" t="s">
        <v>22</v>
      </c>
      <c r="B47" s="5" t="str">
        <f>"10/1"</f>
        <v>10/1</v>
      </c>
      <c r="C47" s="7">
        <f>AVERAGE(0.361,0.363)</f>
        <v>0.36199999999999999</v>
      </c>
      <c r="D47" s="8">
        <f>((C47)*(H47)*(I47))/(G47*1)</f>
        <v>144.16567104739144</v>
      </c>
      <c r="E47" s="8">
        <f>D47/10000</f>
        <v>1.4416567104739144E-2</v>
      </c>
      <c r="G47" s="9">
        <f>digestion_page!B20</f>
        <v>1.2555000000000001</v>
      </c>
      <c r="H47" s="9">
        <f>digestion_page!C20</f>
        <v>50</v>
      </c>
      <c r="I47" s="9">
        <f>(LEFT(B47,FIND("/",B47)-1)/RIGHT(B47,LEN(B47)-FIND("/", B47)))</f>
        <v>10</v>
      </c>
    </row>
    <row r="48" spans="1:9" x14ac:dyDescent="0.25">
      <c r="A48" s="4" t="s">
        <v>23</v>
      </c>
      <c r="B48" s="5" t="str">
        <f t="shared" ref="B48:B49" si="0">"10/1"</f>
        <v>10/1</v>
      </c>
      <c r="C48" s="7">
        <f>AVERAGE(0.31,0.314)</f>
        <v>0.312</v>
      </c>
      <c r="D48" s="8">
        <f>((C48)*(H48)*(I48))/(G48*1)</f>
        <v>124.30278884462153</v>
      </c>
      <c r="E48" s="8">
        <f>D48/10000</f>
        <v>1.2430278884462152E-2</v>
      </c>
      <c r="G48" s="9">
        <f>digestion_page!B21</f>
        <v>1.2549999999999999</v>
      </c>
      <c r="H48" s="9">
        <f>digestion_page!C21</f>
        <v>50</v>
      </c>
      <c r="I48" s="9">
        <f>(LEFT(B48,FIND("/",B48)-1)/RIGHT(B48,LEN(B48)-FIND("/", B48)))</f>
        <v>10</v>
      </c>
    </row>
    <row r="49" spans="1:9" x14ac:dyDescent="0.25">
      <c r="A49" s="4" t="s">
        <v>24</v>
      </c>
      <c r="B49" s="5" t="str">
        <f t="shared" si="0"/>
        <v>10/1</v>
      </c>
      <c r="C49" s="7">
        <f>AVERAGE(0.355,0.359)</f>
        <v>0.35699999999999998</v>
      </c>
      <c r="D49" s="8">
        <f>((C49)*(H49)*(I49))/(G49*1)</f>
        <v>142.29910714285714</v>
      </c>
      <c r="E49" s="8">
        <f>D49/10000</f>
        <v>1.4229910714285714E-2</v>
      </c>
      <c r="G49" s="9">
        <f>digestion_page!B22</f>
        <v>1.2544</v>
      </c>
      <c r="H49" s="9">
        <f>digestion_page!C22</f>
        <v>50</v>
      </c>
      <c r="I49" s="9">
        <f>(LEFT(B49,FIND("/",B49)-1)/RIGHT(B49,LEN(B49)-FIND("/", B49)))</f>
        <v>10</v>
      </c>
    </row>
    <row r="51" spans="1:9" x14ac:dyDescent="0.25">
      <c r="A51" s="15" t="s">
        <v>57</v>
      </c>
      <c r="B51" s="15"/>
      <c r="C51" s="13">
        <f>AVERAGE(D47:D49)</f>
        <v>136.92252234495672</v>
      </c>
    </row>
    <row r="52" spans="1:9" x14ac:dyDescent="0.25">
      <c r="A52" s="16" t="s">
        <v>57</v>
      </c>
      <c r="B52" s="16"/>
      <c r="C52" s="11">
        <f>AVERAGE(E47:E49)</f>
        <v>1.369225223449567E-2</v>
      </c>
    </row>
    <row r="53" spans="1:9" x14ac:dyDescent="0.25">
      <c r="A53" s="16" t="s">
        <v>58</v>
      </c>
      <c r="B53" s="16"/>
      <c r="C53" s="17" t="s">
        <v>78</v>
      </c>
      <c r="D53" s="17"/>
      <c r="E53" s="17"/>
      <c r="F53" s="17"/>
    </row>
    <row r="55" spans="1:9" x14ac:dyDescent="0.25">
      <c r="A55" s="14" t="s">
        <v>59</v>
      </c>
      <c r="B55" s="14"/>
    </row>
    <row r="56" spans="1:9" x14ac:dyDescent="0.25">
      <c r="A56" s="4" t="s">
        <v>32</v>
      </c>
      <c r="B56" s="4" t="s">
        <v>33</v>
      </c>
      <c r="C56" s="4" t="s">
        <v>34</v>
      </c>
      <c r="D56" s="4" t="s">
        <v>60</v>
      </c>
      <c r="E56" s="4" t="s">
        <v>61</v>
      </c>
    </row>
    <row r="57" spans="1:9" x14ac:dyDescent="0.25">
      <c r="A57" s="4" t="s">
        <v>22</v>
      </c>
      <c r="B57" s="5" t="str">
        <f>"10/1"</f>
        <v>10/1</v>
      </c>
      <c r="C57" s="7">
        <f>AVERAGE(0.47,0.475)</f>
        <v>0.47249999999999998</v>
      </c>
      <c r="D57" s="8">
        <f>((C57)*(H57)*(I57))/(G57*1)</f>
        <v>188.17204301075267</v>
      </c>
      <c r="E57" s="8">
        <f>D57/10000</f>
        <v>1.8817204301075266E-2</v>
      </c>
      <c r="G57" s="9">
        <f>digestion_page!B20</f>
        <v>1.2555000000000001</v>
      </c>
      <c r="H57" s="9">
        <f>digestion_page!C20</f>
        <v>50</v>
      </c>
      <c r="I57" s="9">
        <f>(LEFT(B57,FIND("/",B57)-1)/RIGHT(B57,LEN(B57)-FIND("/", B57)))</f>
        <v>10</v>
      </c>
    </row>
    <row r="58" spans="1:9" x14ac:dyDescent="0.25">
      <c r="A58" s="4" t="s">
        <v>23</v>
      </c>
      <c r="B58" s="5" t="str">
        <f t="shared" ref="B58:B59" si="1">"10/1"</f>
        <v>10/1</v>
      </c>
      <c r="C58" s="7">
        <f>AVERAGE(0.443,0.454)</f>
        <v>0.44850000000000001</v>
      </c>
      <c r="D58" s="8">
        <f>((C58)*(H58)*(I58))/(G58*1)</f>
        <v>178.68525896414343</v>
      </c>
      <c r="E58" s="8">
        <f>D58/10000</f>
        <v>1.7868525896414342E-2</v>
      </c>
      <c r="G58" s="9">
        <f>digestion_page!B21</f>
        <v>1.2549999999999999</v>
      </c>
      <c r="H58" s="9">
        <f>digestion_page!C21</f>
        <v>50</v>
      </c>
      <c r="I58" s="9">
        <f>(LEFT(B58,FIND("/",B58)-1)/RIGHT(B58,LEN(B58)-FIND("/", B58)))</f>
        <v>10</v>
      </c>
    </row>
    <row r="59" spans="1:9" x14ac:dyDescent="0.25">
      <c r="A59" s="4" t="s">
        <v>24</v>
      </c>
      <c r="B59" s="5" t="str">
        <f t="shared" si="1"/>
        <v>10/1</v>
      </c>
      <c r="C59" s="7">
        <f>AVERAGE(0.475,0.483)</f>
        <v>0.47899999999999998</v>
      </c>
      <c r="D59" s="8">
        <f>((C59)*(H59)*(I59))/(G59*1)</f>
        <v>190.9279336734694</v>
      </c>
      <c r="E59" s="8">
        <f>D59/10000</f>
        <v>1.9092793367346941E-2</v>
      </c>
      <c r="G59" s="9">
        <f>digestion_page!B22</f>
        <v>1.2544</v>
      </c>
      <c r="H59" s="9">
        <f>digestion_page!C22</f>
        <v>50</v>
      </c>
      <c r="I59" s="9">
        <f>(LEFT(B59,FIND("/",B59)-1)/RIGHT(B59,LEN(B59)-FIND("/", B59)))</f>
        <v>10</v>
      </c>
    </row>
    <row r="61" spans="1:9" x14ac:dyDescent="0.25">
      <c r="A61" s="15" t="s">
        <v>62</v>
      </c>
      <c r="B61" s="15"/>
      <c r="C61" s="13">
        <f>AVERAGE(D57:D59)</f>
        <v>185.92841188278851</v>
      </c>
    </row>
    <row r="62" spans="1:9" x14ac:dyDescent="0.25">
      <c r="A62" s="16" t="s">
        <v>62</v>
      </c>
      <c r="B62" s="16"/>
      <c r="C62" s="11">
        <f>AVERAGE(E57:E59)</f>
        <v>1.859284118827885E-2</v>
      </c>
    </row>
    <row r="63" spans="1:9" x14ac:dyDescent="0.25">
      <c r="A63" s="16" t="s">
        <v>63</v>
      </c>
      <c r="B63" s="16"/>
      <c r="C63" s="17" t="s">
        <v>79</v>
      </c>
      <c r="D63" s="17"/>
      <c r="E63" s="17"/>
      <c r="F63" s="17"/>
    </row>
    <row r="65" spans="1:9" x14ac:dyDescent="0.25">
      <c r="A65" s="14" t="s">
        <v>64</v>
      </c>
      <c r="B65" s="14"/>
    </row>
    <row r="66" spans="1:9" x14ac:dyDescent="0.25">
      <c r="A66" s="4" t="s">
        <v>32</v>
      </c>
      <c r="B66" s="4" t="s">
        <v>33</v>
      </c>
      <c r="C66" s="4" t="s">
        <v>34</v>
      </c>
      <c r="D66" s="4" t="s">
        <v>65</v>
      </c>
      <c r="E66" s="4" t="s">
        <v>66</v>
      </c>
    </row>
    <row r="67" spans="1:9" x14ac:dyDescent="0.25">
      <c r="A67" s="4" t="s">
        <v>22</v>
      </c>
      <c r="B67" s="5" t="str">
        <f>"1/1"</f>
        <v>1/1</v>
      </c>
      <c r="C67" s="7">
        <v>2.5920000000000001</v>
      </c>
      <c r="D67" s="8">
        <f>((C67)*(H67)*(I67))/(G67*1)</f>
        <v>103.2258064516129</v>
      </c>
      <c r="E67" s="8">
        <f>D67/10000</f>
        <v>1.032258064516129E-2</v>
      </c>
      <c r="G67" s="9">
        <f>digestion_page!B20</f>
        <v>1.2555000000000001</v>
      </c>
      <c r="H67" s="9">
        <f>digestion_page!C20</f>
        <v>50</v>
      </c>
      <c r="I67" s="9">
        <f>(LEFT(B67,FIND("/",B67)-1)/RIGHT(B67,LEN(B67)-FIND("/", B67)))</f>
        <v>1</v>
      </c>
    </row>
    <row r="68" spans="1:9" x14ac:dyDescent="0.25">
      <c r="A68" s="4" t="s">
        <v>23</v>
      </c>
      <c r="B68" s="5" t="str">
        <f>"1/1"</f>
        <v>1/1</v>
      </c>
      <c r="C68" s="7">
        <v>2.5779999999999998</v>
      </c>
      <c r="D68" s="8">
        <f>((C68)*(H68)*(I68))/(G68*1)</f>
        <v>102.70916334661356</v>
      </c>
      <c r="E68" s="8">
        <f>D68/10000</f>
        <v>1.0270916334661356E-2</v>
      </c>
      <c r="G68" s="9">
        <f>digestion_page!B21</f>
        <v>1.2549999999999999</v>
      </c>
      <c r="H68" s="9">
        <f>digestion_page!C21</f>
        <v>50</v>
      </c>
      <c r="I68" s="9">
        <f>(LEFT(B68,FIND("/",B68)-1)/RIGHT(B68,LEN(B68)-FIND("/", B68)))</f>
        <v>1</v>
      </c>
    </row>
    <row r="69" spans="1:9" x14ac:dyDescent="0.25">
      <c r="A69" s="4" t="s">
        <v>24</v>
      </c>
      <c r="B69" s="5" t="str">
        <f>"1/1"</f>
        <v>1/1</v>
      </c>
      <c r="C69" s="7">
        <v>2.488</v>
      </c>
      <c r="D69" s="8">
        <f>((C69)*(H69)*(I69))/(G69*1)</f>
        <v>99.170918367346943</v>
      </c>
      <c r="E69" s="8">
        <f>D69/10000</f>
        <v>9.9170918367346948E-3</v>
      </c>
      <c r="G69" s="9">
        <f>digestion_page!B22</f>
        <v>1.2544</v>
      </c>
      <c r="H69" s="9">
        <f>digestion_page!C22</f>
        <v>50</v>
      </c>
      <c r="I69" s="9">
        <f>(LEFT(B69,FIND("/",B69)-1)/RIGHT(B69,LEN(B69)-FIND("/", B69)))</f>
        <v>1</v>
      </c>
    </row>
    <row r="71" spans="1:9" x14ac:dyDescent="0.25">
      <c r="A71" s="15" t="s">
        <v>67</v>
      </c>
      <c r="B71" s="15"/>
      <c r="C71" s="13">
        <f>AVERAGE(D67:D69)</f>
        <v>101.7019627218578</v>
      </c>
    </row>
    <row r="72" spans="1:9" x14ac:dyDescent="0.25">
      <c r="A72" s="16" t="s">
        <v>67</v>
      </c>
      <c r="B72" s="16"/>
      <c r="C72" s="11">
        <f>AVERAGE(E67:E69)</f>
        <v>1.017019627218578E-2</v>
      </c>
    </row>
    <row r="73" spans="1:9" x14ac:dyDescent="0.25">
      <c r="A73" s="16" t="s">
        <v>68</v>
      </c>
      <c r="B73" s="16"/>
      <c r="C73" s="17" t="s">
        <v>80</v>
      </c>
      <c r="D73" s="17"/>
      <c r="E73" s="17"/>
      <c r="F73" s="17"/>
    </row>
    <row r="75" spans="1:9" x14ac:dyDescent="0.25">
      <c r="A75" s="14" t="s">
        <v>69</v>
      </c>
      <c r="B75" s="14"/>
    </row>
    <row r="76" spans="1:9" x14ac:dyDescent="0.25">
      <c r="A76" s="4" t="s">
        <v>32</v>
      </c>
      <c r="B76" s="4" t="s">
        <v>33</v>
      </c>
      <c r="C76" s="4" t="s">
        <v>34</v>
      </c>
      <c r="D76" s="4" t="s">
        <v>70</v>
      </c>
      <c r="E76" s="4" t="s">
        <v>71</v>
      </c>
    </row>
    <row r="77" spans="1:9" x14ac:dyDescent="0.25">
      <c r="A77" s="4" t="s">
        <v>22</v>
      </c>
      <c r="B77" s="5" t="str">
        <f>"1/1"</f>
        <v>1/1</v>
      </c>
      <c r="C77" s="7">
        <f>AVERAGE(1.434,1.515)</f>
        <v>1.4744999999999999</v>
      </c>
      <c r="D77" s="8">
        <f>((C77)*(H77)*(I77))/(G77*1)</f>
        <v>58.721624850657101</v>
      </c>
      <c r="E77" s="8">
        <f>D77/10000</f>
        <v>5.87216248506571E-3</v>
      </c>
      <c r="G77" s="9">
        <f>digestion_page!B20</f>
        <v>1.2555000000000001</v>
      </c>
      <c r="H77" s="9">
        <f>digestion_page!C20</f>
        <v>50</v>
      </c>
      <c r="I77" s="9">
        <f>(LEFT(B77,FIND("/",B77)-1)/RIGHT(B77,LEN(B77)-FIND("/", B77)))</f>
        <v>1</v>
      </c>
    </row>
    <row r="78" spans="1:9" x14ac:dyDescent="0.25">
      <c r="A78" s="4" t="s">
        <v>23</v>
      </c>
      <c r="B78" s="5" t="str">
        <f>"1/1"</f>
        <v>1/1</v>
      </c>
      <c r="C78" s="7">
        <f>AVERAGE(1.194,1.294)</f>
        <v>1.244</v>
      </c>
      <c r="D78" s="8">
        <f>((C78)*(H78)*(I78))/(G78*1)</f>
        <v>49.561752988047814</v>
      </c>
      <c r="E78" s="8">
        <f>D78/10000</f>
        <v>4.9561752988047814E-3</v>
      </c>
      <c r="G78" s="9">
        <f>digestion_page!B21</f>
        <v>1.2549999999999999</v>
      </c>
      <c r="H78" s="9">
        <f>digestion_page!C21</f>
        <v>50</v>
      </c>
      <c r="I78" s="9">
        <f>(LEFT(B78,FIND("/",B78)-1)/RIGHT(B78,LEN(B78)-FIND("/", B78)))</f>
        <v>1</v>
      </c>
    </row>
    <row r="79" spans="1:9" x14ac:dyDescent="0.25">
      <c r="A79" s="4" t="s">
        <v>24</v>
      </c>
      <c r="B79" s="5" t="str">
        <f>"1/1"</f>
        <v>1/1</v>
      </c>
      <c r="C79" s="7">
        <f>AVERAGE(1.116,1.224)</f>
        <v>1.17</v>
      </c>
      <c r="D79" s="8">
        <f>((C79)*(H79)*(I79))/(G79*1)</f>
        <v>46.635841836734699</v>
      </c>
      <c r="E79" s="8">
        <f>D79/10000</f>
        <v>4.6635841836734698E-3</v>
      </c>
      <c r="G79" s="9">
        <f>digestion_page!B22</f>
        <v>1.2544</v>
      </c>
      <c r="H79" s="9">
        <f>digestion_page!C22</f>
        <v>50</v>
      </c>
      <c r="I79" s="9">
        <f>(LEFT(B79,FIND("/",B79)-1)/RIGHT(B79,LEN(B79)-FIND("/", B79)))</f>
        <v>1</v>
      </c>
    </row>
    <row r="81" spans="1:6" x14ac:dyDescent="0.25">
      <c r="A81" s="15" t="s">
        <v>72</v>
      </c>
      <c r="B81" s="15"/>
      <c r="C81" s="13">
        <f>AVERAGE(D77:D79)</f>
        <v>51.639739891813207</v>
      </c>
    </row>
    <row r="82" spans="1:6" x14ac:dyDescent="0.25">
      <c r="A82" s="16" t="s">
        <v>72</v>
      </c>
      <c r="B82" s="16"/>
      <c r="C82" s="11">
        <f>AVERAGE(E77:E79)</f>
        <v>5.1639739891813198E-3</v>
      </c>
    </row>
    <row r="83" spans="1:6" x14ac:dyDescent="0.25">
      <c r="A83" s="16" t="s">
        <v>73</v>
      </c>
      <c r="B83" s="16"/>
      <c r="C83" s="17" t="s">
        <v>81</v>
      </c>
      <c r="D83" s="17"/>
      <c r="E83" s="17"/>
      <c r="F83" s="17"/>
    </row>
    <row r="85" spans="1:6" x14ac:dyDescent="0.25">
      <c r="B85" s="10" t="s">
        <v>82</v>
      </c>
      <c r="C85" s="18"/>
      <c r="D85" s="18"/>
      <c r="E85" s="18"/>
      <c r="F85" s="18"/>
    </row>
    <row r="86" spans="1:6" x14ac:dyDescent="0.25">
      <c r="C86" s="18"/>
      <c r="D86" s="18"/>
      <c r="E86" s="18"/>
      <c r="F86" s="18"/>
    </row>
    <row r="87" spans="1:6" x14ac:dyDescent="0.25">
      <c r="C87" s="18"/>
      <c r="D87" s="18"/>
      <c r="E87" s="18"/>
      <c r="F87" s="18"/>
    </row>
  </sheetData>
  <mergeCells count="41">
    <mergeCell ref="C85:F87"/>
    <mergeCell ref="A73:B73"/>
    <mergeCell ref="C73:F73"/>
    <mergeCell ref="A75:B75"/>
    <mergeCell ref="A81:B81"/>
    <mergeCell ref="A82:B82"/>
    <mergeCell ref="A65:B65"/>
    <mergeCell ref="A71:B71"/>
    <mergeCell ref="A72:B72"/>
    <mergeCell ref="A83:B83"/>
    <mergeCell ref="C83:F83"/>
    <mergeCell ref="A55:B55"/>
    <mergeCell ref="A61:B61"/>
    <mergeCell ref="A62:B62"/>
    <mergeCell ref="A63:B63"/>
    <mergeCell ref="C63:F63"/>
    <mergeCell ref="A45:B45"/>
    <mergeCell ref="A51:B51"/>
    <mergeCell ref="A52:B52"/>
    <mergeCell ref="A53:B53"/>
    <mergeCell ref="C53:F53"/>
    <mergeCell ref="A35:B35"/>
    <mergeCell ref="A41:B41"/>
    <mergeCell ref="A42:B42"/>
    <mergeCell ref="A43:B43"/>
    <mergeCell ref="C43:F43"/>
    <mergeCell ref="A25:B25"/>
    <mergeCell ref="A31:B31"/>
    <mergeCell ref="A32:B32"/>
    <mergeCell ref="A33:B33"/>
    <mergeCell ref="C33:F33"/>
    <mergeCell ref="A15:B15"/>
    <mergeCell ref="A21:B21"/>
    <mergeCell ref="A22:B22"/>
    <mergeCell ref="A23:B23"/>
    <mergeCell ref="C23:F23"/>
    <mergeCell ref="A5:B5"/>
    <mergeCell ref="A11:B11"/>
    <mergeCell ref="A12:B12"/>
    <mergeCell ref="A13:B13"/>
    <mergeCell ref="C13:F13"/>
  </mergeCells>
  <conditionalFormatting sqref="C13:F13">
    <cfRule type="containsBlanks" dxfId="23" priority="1">
      <formula>LEN(TRIM(C13))=0</formula>
    </cfRule>
  </conditionalFormatting>
  <conditionalFormatting sqref="C23:F23">
    <cfRule type="containsBlanks" dxfId="22" priority="2">
      <formula>LEN(TRIM(C23))=0</formula>
    </cfRule>
  </conditionalFormatting>
  <conditionalFormatting sqref="C33:F33">
    <cfRule type="containsBlanks" dxfId="21" priority="3">
      <formula>LEN(TRIM(C33))=0</formula>
    </cfRule>
  </conditionalFormatting>
  <conditionalFormatting sqref="C43:F43">
    <cfRule type="containsBlanks" dxfId="20" priority="4">
      <formula>LEN(TRIM(C43))=0</formula>
    </cfRule>
  </conditionalFormatting>
  <conditionalFormatting sqref="C53:F53">
    <cfRule type="containsBlanks" dxfId="19" priority="5">
      <formula>LEN(TRIM(C53))=0</formula>
    </cfRule>
  </conditionalFormatting>
  <conditionalFormatting sqref="C63:F63">
    <cfRule type="containsBlanks" dxfId="18" priority="6">
      <formula>LEN(TRIM(C63))=0</formula>
    </cfRule>
  </conditionalFormatting>
  <conditionalFormatting sqref="C73:F73">
    <cfRule type="containsBlanks" dxfId="17" priority="7">
      <formula>LEN(TRIM(C73))=0</formula>
    </cfRule>
  </conditionalFormatting>
  <conditionalFormatting sqref="C83:F83">
    <cfRule type="containsBlanks" dxfId="16" priority="8">
      <formula>LEN(TRIM(C83))=0</formula>
    </cfRule>
  </conditionalFormatting>
  <pageMargins left="0.7" right="0.7" top="0.75" bottom="0.75" header="0.3" footer="0.3"/>
  <pageSetup scale="53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87"/>
  <sheetViews>
    <sheetView topLeftCell="A4" zoomScaleNormal="100" workbookViewId="0">
      <selection activeCell="A31" sqref="A31:B31"/>
    </sheetView>
  </sheetViews>
  <sheetFormatPr defaultRowHeight="15" x14ac:dyDescent="0.25"/>
  <cols>
    <col min="1" max="1" width="14.42578125" bestFit="1" customWidth="1"/>
    <col min="2" max="2" width="10.7109375" bestFit="1" customWidth="1"/>
    <col min="3" max="3" width="12.7109375" customWidth="1"/>
    <col min="4" max="4" width="8.42578125" bestFit="1" customWidth="1"/>
    <col min="5" max="5" width="7.7109375" customWidth="1"/>
    <col min="6" max="6" width="20.140625" customWidth="1"/>
    <col min="7" max="78" width="7.7109375" customWidth="1"/>
  </cols>
  <sheetData>
    <row r="1" spans="1:9" x14ac:dyDescent="0.25">
      <c r="A1" s="1" t="s">
        <v>0</v>
      </c>
      <c r="B1" s="2">
        <v>46216</v>
      </c>
    </row>
    <row r="2" spans="1:9" x14ac:dyDescent="0.25">
      <c r="A2" s="1" t="s">
        <v>1</v>
      </c>
      <c r="B2" s="3" t="s">
        <v>2</v>
      </c>
    </row>
    <row r="5" spans="1:9" x14ac:dyDescent="0.25">
      <c r="A5" s="14" t="s">
        <v>31</v>
      </c>
      <c r="B5" s="14"/>
    </row>
    <row r="6" spans="1:9" x14ac:dyDescent="0.25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</row>
    <row r="7" spans="1:9" x14ac:dyDescent="0.25">
      <c r="A7" s="4" t="s">
        <v>25</v>
      </c>
      <c r="B7" s="5" t="str">
        <f>"10/2"</f>
        <v>10/2</v>
      </c>
      <c r="C7" s="7">
        <f>AVERAGE(2.74,2.811)</f>
        <v>2.7755000000000001</v>
      </c>
      <c r="D7" s="8">
        <f>((C7)*(H7)*(I7))/(G7*1)</f>
        <v>553.7267576410502</v>
      </c>
      <c r="E7" s="8">
        <f>D7/10000</f>
        <v>5.5372675764105019E-2</v>
      </c>
      <c r="G7" s="9">
        <f>digestion_page!B23</f>
        <v>1.2531000000000001</v>
      </c>
      <c r="H7" s="9">
        <f>digestion_page!C23</f>
        <v>50</v>
      </c>
      <c r="I7" s="9">
        <f>(LEFT(B7,FIND("/",B7)-1)/RIGHT(B7,LEN(B7)-FIND("/", B7)))</f>
        <v>5</v>
      </c>
    </row>
    <row r="8" spans="1:9" x14ac:dyDescent="0.25">
      <c r="A8" s="4" t="s">
        <v>26</v>
      </c>
      <c r="B8" s="5" t="str">
        <f t="shared" ref="B8:B9" si="0">"10/2"</f>
        <v>10/2</v>
      </c>
      <c r="C8" s="7">
        <f>AVERAGE(2.788,2.89)</f>
        <v>2.839</v>
      </c>
      <c r="D8" s="8">
        <f>((C8)*(H8)*(I8))/(G8*1)</f>
        <v>566.62142743094364</v>
      </c>
      <c r="E8" s="8">
        <f>D8/10000</f>
        <v>5.6662142743094362E-2</v>
      </c>
      <c r="G8" s="9">
        <f>digestion_page!B24</f>
        <v>1.2525999999999999</v>
      </c>
      <c r="H8" s="9">
        <f>digestion_page!C24</f>
        <v>50</v>
      </c>
      <c r="I8" s="9">
        <f>(LEFT(B8,FIND("/",B8)-1)/RIGHT(B8,LEN(B8)-FIND("/", B8)))</f>
        <v>5</v>
      </c>
    </row>
    <row r="9" spans="1:9" x14ac:dyDescent="0.25">
      <c r="A9" s="4" t="s">
        <v>27</v>
      </c>
      <c r="B9" s="5" t="str">
        <f t="shared" si="0"/>
        <v>10/2</v>
      </c>
      <c r="C9" s="7">
        <f>AVERAGE(2.62,2.755)</f>
        <v>2.6875</v>
      </c>
      <c r="D9" s="8">
        <f>((C9)*(H9)*(I9))/(G9*1)</f>
        <v>534.20927089130953</v>
      </c>
      <c r="E9" s="8">
        <f>D9/10000</f>
        <v>5.3420927089130953E-2</v>
      </c>
      <c r="G9" s="9">
        <f>digestion_page!B25</f>
        <v>1.2577</v>
      </c>
      <c r="H9" s="9">
        <f>digestion_page!C25</f>
        <v>50</v>
      </c>
      <c r="I9" s="9">
        <f>(LEFT(B9,FIND("/",B9)-1)/RIGHT(B9,LEN(B9)-FIND("/", B9)))</f>
        <v>5</v>
      </c>
    </row>
    <row r="11" spans="1:9" x14ac:dyDescent="0.25">
      <c r="A11" s="15" t="s">
        <v>37</v>
      </c>
      <c r="B11" s="15"/>
      <c r="C11" s="13">
        <f>AVERAGE(D7:D9)</f>
        <v>551.51915198776771</v>
      </c>
    </row>
    <row r="12" spans="1:9" x14ac:dyDescent="0.25">
      <c r="A12" s="16" t="s">
        <v>37</v>
      </c>
      <c r="B12" s="16"/>
      <c r="C12" s="11">
        <f>AVERAGE(E7:E9)</f>
        <v>5.5151915198776776E-2</v>
      </c>
    </row>
    <row r="13" spans="1:9" x14ac:dyDescent="0.25">
      <c r="A13" s="16" t="s">
        <v>38</v>
      </c>
      <c r="B13" s="16"/>
      <c r="C13" s="17" t="s">
        <v>74</v>
      </c>
      <c r="D13" s="17"/>
      <c r="E13" s="17"/>
      <c r="F13" s="17"/>
    </row>
    <row r="15" spans="1:9" x14ac:dyDescent="0.25">
      <c r="A15" s="14" t="s">
        <v>39</v>
      </c>
      <c r="B15" s="14"/>
    </row>
    <row r="16" spans="1:9" x14ac:dyDescent="0.25">
      <c r="A16" s="4" t="s">
        <v>32</v>
      </c>
      <c r="B16" s="4" t="s">
        <v>33</v>
      </c>
      <c r="C16" s="4" t="s">
        <v>34</v>
      </c>
      <c r="D16" s="4" t="s">
        <v>40</v>
      </c>
      <c r="E16" s="4" t="s">
        <v>41</v>
      </c>
    </row>
    <row r="17" spans="1:9" x14ac:dyDescent="0.25">
      <c r="A17" s="4" t="s">
        <v>25</v>
      </c>
      <c r="B17" s="5" t="str">
        <f>"10/2"</f>
        <v>10/2</v>
      </c>
      <c r="C17" s="7">
        <f>AVERAGE(2.402)</f>
        <v>2.4020000000000001</v>
      </c>
      <c r="D17" s="8">
        <f>((C17)*(H17)*(I17))/(G17*1)</f>
        <v>479.21155534274993</v>
      </c>
      <c r="E17" s="8">
        <f>D17/10000</f>
        <v>4.7921155534274992E-2</v>
      </c>
      <c r="G17" s="9">
        <f>digestion_page!B23</f>
        <v>1.2531000000000001</v>
      </c>
      <c r="H17" s="9">
        <f>digestion_page!C23</f>
        <v>50</v>
      </c>
      <c r="I17" s="9">
        <f>(LEFT(B17,FIND("/",B17)-1)/RIGHT(B17,LEN(B17)-FIND("/", B17)))</f>
        <v>5</v>
      </c>
    </row>
    <row r="18" spans="1:9" x14ac:dyDescent="0.25">
      <c r="A18" s="4" t="s">
        <v>26</v>
      </c>
      <c r="B18" s="5" t="str">
        <f t="shared" ref="B18:B19" si="1">"10/2"</f>
        <v>10/2</v>
      </c>
      <c r="C18" s="7">
        <f>AVERAGE(2.085)</f>
        <v>2.085</v>
      </c>
      <c r="D18" s="8">
        <f>((C18)*(H18)*(I18))/(G18*1)</f>
        <v>416.1344403640428</v>
      </c>
      <c r="E18" s="8">
        <f>D18/10000</f>
        <v>4.1613444036404282E-2</v>
      </c>
      <c r="G18" s="9">
        <f>digestion_page!B24</f>
        <v>1.2525999999999999</v>
      </c>
      <c r="H18" s="9">
        <f>digestion_page!C24</f>
        <v>50</v>
      </c>
      <c r="I18" s="9">
        <f>(LEFT(B18,FIND("/",B18)-1)/RIGHT(B18,LEN(B18)-FIND("/", B18)))</f>
        <v>5</v>
      </c>
    </row>
    <row r="19" spans="1:9" x14ac:dyDescent="0.25">
      <c r="A19" s="4" t="s">
        <v>27</v>
      </c>
      <c r="B19" s="5" t="str">
        <f t="shared" si="1"/>
        <v>10/2</v>
      </c>
      <c r="C19" s="7">
        <f>AVERAGE(2.145)</f>
        <v>2.145</v>
      </c>
      <c r="D19" s="8">
        <f>((C19)*(H19)*(I19))/(G19*1)</f>
        <v>426.37353899976148</v>
      </c>
      <c r="E19" s="8">
        <f>D19/10000</f>
        <v>4.2637353899976145E-2</v>
      </c>
      <c r="G19" s="9">
        <f>digestion_page!B25</f>
        <v>1.2577</v>
      </c>
      <c r="H19" s="9">
        <f>digestion_page!C25</f>
        <v>50</v>
      </c>
      <c r="I19" s="9">
        <f>(LEFT(B19,FIND("/",B19)-1)/RIGHT(B19,LEN(B19)-FIND("/", B19)))</f>
        <v>5</v>
      </c>
    </row>
    <row r="21" spans="1:9" x14ac:dyDescent="0.25">
      <c r="A21" s="15" t="s">
        <v>42</v>
      </c>
      <c r="B21" s="15"/>
      <c r="C21" s="13">
        <f>AVERAGE(D17:D19)</f>
        <v>440.57317823551807</v>
      </c>
    </row>
    <row r="22" spans="1:9" x14ac:dyDescent="0.25">
      <c r="A22" s="16" t="s">
        <v>42</v>
      </c>
      <c r="B22" s="16"/>
      <c r="C22" s="11">
        <f>AVERAGE(E17:E19)</f>
        <v>4.4057317823551802E-2</v>
      </c>
    </row>
    <row r="23" spans="1:9" x14ac:dyDescent="0.25">
      <c r="A23" s="16" t="s">
        <v>43</v>
      </c>
      <c r="B23" s="16"/>
      <c r="C23" s="17" t="s">
        <v>75</v>
      </c>
      <c r="D23" s="17"/>
      <c r="E23" s="17"/>
      <c r="F23" s="17"/>
    </row>
    <row r="25" spans="1:9" x14ac:dyDescent="0.25">
      <c r="A25" s="14" t="s">
        <v>44</v>
      </c>
      <c r="B25" s="14"/>
    </row>
    <row r="26" spans="1:9" x14ac:dyDescent="0.25">
      <c r="A26" s="4" t="s">
        <v>32</v>
      </c>
      <c r="B26" s="4" t="s">
        <v>33</v>
      </c>
      <c r="C26" s="4" t="s">
        <v>34</v>
      </c>
      <c r="D26" s="4" t="s">
        <v>45</v>
      </c>
      <c r="E26" s="4" t="s">
        <v>46</v>
      </c>
    </row>
    <row r="27" spans="1:9" x14ac:dyDescent="0.25">
      <c r="A27" s="4" t="s">
        <v>25</v>
      </c>
      <c r="B27" s="5" t="str">
        <f>"10/2"</f>
        <v>10/2</v>
      </c>
      <c r="C27" s="7">
        <f>AVERAGE(2.705,2.609,2.805)</f>
        <v>2.7063333333333333</v>
      </c>
      <c r="D27" s="8">
        <f>((C27)*(H27)*(I27))/(G27*1)</f>
        <v>539.92764610432778</v>
      </c>
      <c r="E27" s="8">
        <f>D27/10000</f>
        <v>5.3992764610432779E-2</v>
      </c>
      <c r="G27" s="9">
        <f>digestion_page!B23</f>
        <v>1.2531000000000001</v>
      </c>
      <c r="H27" s="9">
        <f>digestion_page!C23</f>
        <v>50</v>
      </c>
      <c r="I27" s="9">
        <f>(LEFT(B27,FIND("/",B27)-1)/RIGHT(B27,LEN(B27)-FIND("/", B27)))</f>
        <v>5</v>
      </c>
    </row>
    <row r="28" spans="1:9" x14ac:dyDescent="0.25">
      <c r="A28" s="4" t="s">
        <v>26</v>
      </c>
      <c r="B28" s="5" t="str">
        <f t="shared" ref="B28:B29" si="2">"10/2"</f>
        <v>10/2</v>
      </c>
      <c r="C28" s="7">
        <f>AVERAGE(2.704,2.566,2.729)</f>
        <v>2.6663333333333332</v>
      </c>
      <c r="D28" s="8">
        <f>((C28)*(H28)*(I28))/(G28*1)</f>
        <v>532.15977433604769</v>
      </c>
      <c r="E28" s="8">
        <f>D28/10000</f>
        <v>5.3215977433604768E-2</v>
      </c>
      <c r="G28" s="9">
        <f>digestion_page!B24</f>
        <v>1.2525999999999999</v>
      </c>
      <c r="H28" s="9">
        <f>digestion_page!C24</f>
        <v>50</v>
      </c>
      <c r="I28" s="9">
        <f>(LEFT(B28,FIND("/",B28)-1)/RIGHT(B28,LEN(B28)-FIND("/", B28)))</f>
        <v>5</v>
      </c>
    </row>
    <row r="29" spans="1:9" x14ac:dyDescent="0.25">
      <c r="A29" s="4" t="s">
        <v>27</v>
      </c>
      <c r="B29" s="5" t="str">
        <f t="shared" si="2"/>
        <v>10/2</v>
      </c>
      <c r="C29" s="7">
        <f>AVERAGE(2.708,2.534,2.615)</f>
        <v>2.6190000000000002</v>
      </c>
      <c r="D29" s="8">
        <f>((C29)*(H29)*(I29))/(G29*1)</f>
        <v>520.59314621928922</v>
      </c>
      <c r="E29" s="8">
        <f>D29/10000</f>
        <v>5.205931462192892E-2</v>
      </c>
      <c r="G29" s="9">
        <f>digestion_page!B25</f>
        <v>1.2577</v>
      </c>
      <c r="H29" s="9">
        <f>digestion_page!C25</f>
        <v>50</v>
      </c>
      <c r="I29" s="9">
        <f>(LEFT(B29,FIND("/",B29)-1)/RIGHT(B29,LEN(B29)-FIND("/", B29)))</f>
        <v>5</v>
      </c>
    </row>
    <row r="31" spans="1:9" x14ac:dyDescent="0.25">
      <c r="A31" s="15" t="s">
        <v>47</v>
      </c>
      <c r="B31" s="15"/>
      <c r="C31" s="13">
        <f>AVERAGE(D27:D29)</f>
        <v>530.89352221988827</v>
      </c>
    </row>
    <row r="32" spans="1:9" x14ac:dyDescent="0.25">
      <c r="A32" s="16" t="s">
        <v>47</v>
      </c>
      <c r="B32" s="16"/>
      <c r="C32" s="11">
        <f>AVERAGE(E27:E29)</f>
        <v>5.3089352221988823E-2</v>
      </c>
    </row>
    <row r="33" spans="1:9" x14ac:dyDescent="0.25">
      <c r="A33" s="16" t="s">
        <v>48</v>
      </c>
      <c r="B33" s="16"/>
      <c r="C33" s="17" t="s">
        <v>76</v>
      </c>
      <c r="D33" s="17"/>
      <c r="E33" s="17"/>
      <c r="F33" s="17"/>
    </row>
    <row r="35" spans="1:9" x14ac:dyDescent="0.25">
      <c r="A35" s="14" t="s">
        <v>49</v>
      </c>
      <c r="B35" s="14"/>
    </row>
    <row r="36" spans="1:9" x14ac:dyDescent="0.25">
      <c r="A36" s="4" t="s">
        <v>32</v>
      </c>
      <c r="B36" s="4" t="s">
        <v>33</v>
      </c>
      <c r="C36" s="4" t="s">
        <v>34</v>
      </c>
      <c r="D36" s="4" t="s">
        <v>50</v>
      </c>
      <c r="E36" s="4" t="s">
        <v>51</v>
      </c>
    </row>
    <row r="37" spans="1:9" x14ac:dyDescent="0.25">
      <c r="A37" s="4" t="s">
        <v>25</v>
      </c>
      <c r="B37" s="5" t="str">
        <f>"10/2"</f>
        <v>10/2</v>
      </c>
      <c r="C37" s="7">
        <f>AVERAGE(2.505)</f>
        <v>2.5049999999999999</v>
      </c>
      <c r="D37" s="8">
        <f>((C37)*(H37)*(I37))/(G37*1)</f>
        <v>499.7605937275556</v>
      </c>
      <c r="E37" s="8">
        <f>D37/10000</f>
        <v>4.9976059372755559E-2</v>
      </c>
      <c r="G37" s="9">
        <f>digestion_page!B23</f>
        <v>1.2531000000000001</v>
      </c>
      <c r="H37" s="9">
        <f>digestion_page!C23</f>
        <v>50</v>
      </c>
      <c r="I37" s="9">
        <f>(LEFT(B37,FIND("/",B37)-1)/RIGHT(B37,LEN(B37)-FIND("/", B37)))</f>
        <v>5</v>
      </c>
    </row>
    <row r="38" spans="1:9" x14ac:dyDescent="0.25">
      <c r="A38" s="4" t="s">
        <v>26</v>
      </c>
      <c r="B38" s="5" t="str">
        <f t="shared" ref="B38:B39" si="3">"10/2"</f>
        <v>10/2</v>
      </c>
      <c r="C38" s="7">
        <v>2.782</v>
      </c>
      <c r="D38" s="8">
        <f>((C38)*(H38)*(I38))/(G38*1)</f>
        <v>555.24509021235838</v>
      </c>
      <c r="E38" s="8">
        <f>D38/10000</f>
        <v>5.5524509021235839E-2</v>
      </c>
      <c r="G38" s="9">
        <f>digestion_page!B24</f>
        <v>1.2525999999999999</v>
      </c>
      <c r="H38" s="9">
        <f>digestion_page!C24</f>
        <v>50</v>
      </c>
      <c r="I38" s="9">
        <f>(LEFT(B38,FIND("/",B38)-1)/RIGHT(B38,LEN(B38)-FIND("/", B38)))</f>
        <v>5</v>
      </c>
    </row>
    <row r="39" spans="1:9" x14ac:dyDescent="0.25">
      <c r="A39" s="4" t="s">
        <v>27</v>
      </c>
      <c r="B39" s="5" t="str">
        <f t="shared" si="3"/>
        <v>10/2</v>
      </c>
      <c r="C39" s="7">
        <v>2.7559999999999998</v>
      </c>
      <c r="D39" s="8">
        <f>((C39)*(H39)*(I39))/(G39*1)</f>
        <v>547.82539556332983</v>
      </c>
      <c r="E39" s="8">
        <f>D39/10000</f>
        <v>5.4782539556332985E-2</v>
      </c>
      <c r="G39" s="9">
        <f>digestion_page!B25</f>
        <v>1.2577</v>
      </c>
      <c r="H39" s="9">
        <f>digestion_page!C25</f>
        <v>50</v>
      </c>
      <c r="I39" s="9">
        <f>(LEFT(B39,FIND("/",B39)-1)/RIGHT(B39,LEN(B39)-FIND("/", B39)))</f>
        <v>5</v>
      </c>
    </row>
    <row r="41" spans="1:9" x14ac:dyDescent="0.25">
      <c r="A41" s="15" t="s">
        <v>52</v>
      </c>
      <c r="B41" s="15"/>
      <c r="C41" s="13">
        <f>AVERAGE(D37:D39)</f>
        <v>534.27702650108131</v>
      </c>
    </row>
    <row r="42" spans="1:9" x14ac:dyDescent="0.25">
      <c r="A42" s="16" t="s">
        <v>52</v>
      </c>
      <c r="B42" s="16"/>
      <c r="C42" s="11">
        <f>AVERAGE(E37:E39)</f>
        <v>5.3427702650108128E-2</v>
      </c>
    </row>
    <row r="43" spans="1:9" x14ac:dyDescent="0.25">
      <c r="A43" s="16" t="s">
        <v>53</v>
      </c>
      <c r="B43" s="16"/>
      <c r="C43" s="17" t="s">
        <v>77</v>
      </c>
      <c r="D43" s="17"/>
      <c r="E43" s="17"/>
      <c r="F43" s="17"/>
    </row>
    <row r="45" spans="1:9" x14ac:dyDescent="0.25">
      <c r="A45" s="14" t="s">
        <v>54</v>
      </c>
      <c r="B45" s="14"/>
    </row>
    <row r="46" spans="1:9" x14ac:dyDescent="0.25">
      <c r="A46" s="4" t="s">
        <v>32</v>
      </c>
      <c r="B46" s="4" t="s">
        <v>33</v>
      </c>
      <c r="C46" s="4" t="s">
        <v>34</v>
      </c>
      <c r="D46" s="4" t="s">
        <v>55</v>
      </c>
      <c r="E46" s="4" t="s">
        <v>56</v>
      </c>
    </row>
    <row r="47" spans="1:9" x14ac:dyDescent="0.25">
      <c r="A47" s="4" t="s">
        <v>25</v>
      </c>
      <c r="B47" s="5" t="str">
        <f>"25/1"</f>
        <v>25/1</v>
      </c>
      <c r="C47" s="7">
        <v>0.95699999999999996</v>
      </c>
      <c r="D47" s="8">
        <f>((C47)*(H47)*(I47))/(G47*1)</f>
        <v>954.63251137179782</v>
      </c>
      <c r="E47" s="8">
        <f>D47/10000</f>
        <v>9.546325113717978E-2</v>
      </c>
      <c r="G47" s="9">
        <f>digestion_page!B23</f>
        <v>1.2531000000000001</v>
      </c>
      <c r="H47" s="9">
        <f>digestion_page!C23</f>
        <v>50</v>
      </c>
      <c r="I47" s="9">
        <f>(LEFT(B47,FIND("/",B47)-1)/RIGHT(B47,LEN(B47)-FIND("/", B47)))</f>
        <v>25</v>
      </c>
    </row>
    <row r="48" spans="1:9" x14ac:dyDescent="0.25">
      <c r="A48" s="4" t="s">
        <v>26</v>
      </c>
      <c r="B48" s="5" t="str">
        <f t="shared" ref="B48:B49" si="4">"25/1"</f>
        <v>25/1</v>
      </c>
      <c r="C48" s="7">
        <v>0.92900000000000005</v>
      </c>
      <c r="D48" s="8">
        <f>((C48)*(H48)*(I48))/(G48*1)</f>
        <v>927.07169088296348</v>
      </c>
      <c r="E48" s="8">
        <f>D48/10000</f>
        <v>9.2707169088296348E-2</v>
      </c>
      <c r="G48" s="9">
        <f>digestion_page!B24</f>
        <v>1.2525999999999999</v>
      </c>
      <c r="H48" s="9">
        <f>digestion_page!C24</f>
        <v>50</v>
      </c>
      <c r="I48" s="9">
        <f>(LEFT(B48,FIND("/",B48)-1)/RIGHT(B48,LEN(B48)-FIND("/", B48)))</f>
        <v>25</v>
      </c>
    </row>
    <row r="49" spans="1:9" x14ac:dyDescent="0.25">
      <c r="A49" s="4" t="s">
        <v>27</v>
      </c>
      <c r="B49" s="5" t="str">
        <f t="shared" si="4"/>
        <v>25/1</v>
      </c>
      <c r="C49" s="7">
        <v>0.91900000000000004</v>
      </c>
      <c r="D49" s="8">
        <f>((C49)*(H49)*(I49))/(G49*1)</f>
        <v>913.37361850997854</v>
      </c>
      <c r="E49" s="8">
        <f>D49/10000</f>
        <v>9.1337361850997847E-2</v>
      </c>
      <c r="G49" s="9">
        <f>digestion_page!B25</f>
        <v>1.2577</v>
      </c>
      <c r="H49" s="9">
        <f>digestion_page!C25</f>
        <v>50</v>
      </c>
      <c r="I49" s="9">
        <f>(LEFT(B49,FIND("/",B49)-1)/RIGHT(B49,LEN(B49)-FIND("/", B49)))</f>
        <v>25</v>
      </c>
    </row>
    <row r="51" spans="1:9" x14ac:dyDescent="0.25">
      <c r="A51" s="15" t="s">
        <v>57</v>
      </c>
      <c r="B51" s="15"/>
      <c r="C51" s="13">
        <f>AVERAGE(D47:D49)</f>
        <v>931.69260692158002</v>
      </c>
    </row>
    <row r="52" spans="1:9" x14ac:dyDescent="0.25">
      <c r="A52" s="16" t="s">
        <v>57</v>
      </c>
      <c r="B52" s="16"/>
      <c r="C52" s="11">
        <f>AVERAGE(E47:E49)</f>
        <v>9.3169260692157987E-2</v>
      </c>
    </row>
    <row r="53" spans="1:9" x14ac:dyDescent="0.25">
      <c r="A53" s="16" t="s">
        <v>58</v>
      </c>
      <c r="B53" s="16"/>
      <c r="C53" s="17" t="s">
        <v>78</v>
      </c>
      <c r="D53" s="17"/>
      <c r="E53" s="17"/>
      <c r="F53" s="17"/>
    </row>
    <row r="55" spans="1:9" x14ac:dyDescent="0.25">
      <c r="A55" s="14" t="s">
        <v>59</v>
      </c>
      <c r="B55" s="14"/>
    </row>
    <row r="56" spans="1:9" x14ac:dyDescent="0.25">
      <c r="A56" s="4" t="s">
        <v>32</v>
      </c>
      <c r="B56" s="4" t="s">
        <v>33</v>
      </c>
      <c r="C56" s="4" t="s">
        <v>34</v>
      </c>
      <c r="D56" s="4" t="s">
        <v>60</v>
      </c>
      <c r="E56" s="4" t="s">
        <v>61</v>
      </c>
    </row>
    <row r="57" spans="1:9" x14ac:dyDescent="0.25">
      <c r="A57" s="4" t="s">
        <v>25</v>
      </c>
      <c r="B57" s="5" t="str">
        <f>"25/2"</f>
        <v>25/2</v>
      </c>
      <c r="C57" s="7">
        <v>1.105</v>
      </c>
      <c r="D57" s="8">
        <f>((C57)*(H57)*(I57))/(G57*1)</f>
        <v>551.1331896895698</v>
      </c>
      <c r="E57" s="8">
        <f>D57/10000</f>
        <v>5.5113318968956979E-2</v>
      </c>
      <c r="G57" s="9">
        <f>digestion_page!B23</f>
        <v>1.2531000000000001</v>
      </c>
      <c r="H57" s="9">
        <f>digestion_page!C23</f>
        <v>50</v>
      </c>
      <c r="I57" s="9">
        <f>(LEFT(B57,FIND("/",B57)-1)/RIGHT(B57,LEN(B57)-FIND("/", B57)))</f>
        <v>12.5</v>
      </c>
    </row>
    <row r="58" spans="1:9" x14ac:dyDescent="0.25">
      <c r="A58" s="4" t="s">
        <v>26</v>
      </c>
      <c r="B58" s="5" t="str">
        <f t="shared" ref="B58:B59" si="5">"25/2"</f>
        <v>25/2</v>
      </c>
      <c r="C58" s="7">
        <v>1.133</v>
      </c>
      <c r="D58" s="8">
        <f>((C58)*(H58)*(I58))/(G58*1)</f>
        <v>565.32412581829794</v>
      </c>
      <c r="E58" s="8">
        <f>D58/10000</f>
        <v>5.6532412581829797E-2</v>
      </c>
      <c r="G58" s="9">
        <f>digestion_page!B24</f>
        <v>1.2525999999999999</v>
      </c>
      <c r="H58" s="9">
        <f>digestion_page!C24</f>
        <v>50</v>
      </c>
      <c r="I58" s="9">
        <f>(LEFT(B58,FIND("/",B58)-1)/RIGHT(B58,LEN(B58)-FIND("/", B58)))</f>
        <v>12.5</v>
      </c>
    </row>
    <row r="59" spans="1:9" x14ac:dyDescent="0.25">
      <c r="A59" s="4" t="s">
        <v>27</v>
      </c>
      <c r="B59" s="5" t="str">
        <f t="shared" si="5"/>
        <v>25/2</v>
      </c>
      <c r="C59" s="7">
        <v>1.135</v>
      </c>
      <c r="D59" s="8">
        <f>((C59)*(H59)*(I59))/(G59*1)</f>
        <v>564.02560228989421</v>
      </c>
      <c r="E59" s="8">
        <f>D59/10000</f>
        <v>5.6402560228989422E-2</v>
      </c>
      <c r="G59" s="9">
        <f>digestion_page!B25</f>
        <v>1.2577</v>
      </c>
      <c r="H59" s="9">
        <f>digestion_page!C25</f>
        <v>50</v>
      </c>
      <c r="I59" s="9">
        <f>(LEFT(B59,FIND("/",B59)-1)/RIGHT(B59,LEN(B59)-FIND("/", B59)))</f>
        <v>12.5</v>
      </c>
    </row>
    <row r="61" spans="1:9" x14ac:dyDescent="0.25">
      <c r="A61" s="15" t="s">
        <v>62</v>
      </c>
      <c r="B61" s="15"/>
      <c r="C61" s="13">
        <f>AVERAGE(D57:D59)</f>
        <v>560.16097259925402</v>
      </c>
    </row>
    <row r="62" spans="1:9" x14ac:dyDescent="0.25">
      <c r="A62" s="16" t="s">
        <v>62</v>
      </c>
      <c r="B62" s="16"/>
      <c r="C62" s="11">
        <f>AVERAGE(E57:E59)</f>
        <v>5.6016097259925401E-2</v>
      </c>
    </row>
    <row r="63" spans="1:9" x14ac:dyDescent="0.25">
      <c r="A63" s="16" t="s">
        <v>63</v>
      </c>
      <c r="B63" s="16"/>
      <c r="C63" s="17" t="s">
        <v>79</v>
      </c>
      <c r="D63" s="17"/>
      <c r="E63" s="17"/>
      <c r="F63" s="17"/>
    </row>
    <row r="65" spans="1:9" x14ac:dyDescent="0.25">
      <c r="A65" s="14" t="s">
        <v>64</v>
      </c>
      <c r="B65" s="14"/>
    </row>
    <row r="66" spans="1:9" x14ac:dyDescent="0.25">
      <c r="A66" s="4" t="s">
        <v>32</v>
      </c>
      <c r="B66" s="4" t="s">
        <v>33</v>
      </c>
      <c r="C66" s="4" t="s">
        <v>34</v>
      </c>
      <c r="D66" s="4" t="s">
        <v>65</v>
      </c>
      <c r="E66" s="4" t="s">
        <v>66</v>
      </c>
    </row>
    <row r="67" spans="1:9" x14ac:dyDescent="0.25">
      <c r="A67" s="4" t="s">
        <v>25</v>
      </c>
      <c r="B67" s="5" t="str">
        <f>"10/2"</f>
        <v>10/2</v>
      </c>
      <c r="C67" s="7">
        <v>2.3969999999999998</v>
      </c>
      <c r="D67" s="8">
        <f>((C67)*(H67)*(I67))/(G67*1)</f>
        <v>478.2140292075652</v>
      </c>
      <c r="E67" s="8">
        <f>D67/10000</f>
        <v>4.7821402920756519E-2</v>
      </c>
      <c r="G67" s="9">
        <f>digestion_page!B23</f>
        <v>1.2531000000000001</v>
      </c>
      <c r="H67" s="9">
        <f>digestion_page!C23</f>
        <v>50</v>
      </c>
      <c r="I67" s="9">
        <f>(LEFT(B67,FIND("/",B67)-1)/RIGHT(B67,LEN(B67)-FIND("/", B67)))</f>
        <v>5</v>
      </c>
    </row>
    <row r="68" spans="1:9" x14ac:dyDescent="0.25">
      <c r="A68" s="4" t="s">
        <v>26</v>
      </c>
      <c r="B68" s="5" t="str">
        <f t="shared" ref="B68:B69" si="6">"10/2"</f>
        <v>10/2</v>
      </c>
      <c r="C68" s="7">
        <v>2.8540000000000001</v>
      </c>
      <c r="D68" s="8">
        <f>((C68)*(H68)*(I68))/(G68*1)</f>
        <v>569.61520038320305</v>
      </c>
      <c r="E68" s="8">
        <f>D68/10000</f>
        <v>5.6961520038320307E-2</v>
      </c>
      <c r="G68" s="9">
        <f>digestion_page!B24</f>
        <v>1.2525999999999999</v>
      </c>
      <c r="H68" s="9">
        <f>digestion_page!C24</f>
        <v>50</v>
      </c>
      <c r="I68" s="9">
        <f>(LEFT(B68,FIND("/",B68)-1)/RIGHT(B68,LEN(B68)-FIND("/", B68)))</f>
        <v>5</v>
      </c>
    </row>
    <row r="69" spans="1:9" x14ac:dyDescent="0.25">
      <c r="A69" s="4" t="s">
        <v>27</v>
      </c>
      <c r="B69" s="5" t="str">
        <f t="shared" si="6"/>
        <v>10/2</v>
      </c>
      <c r="C69" s="7">
        <v>2.8010000000000002</v>
      </c>
      <c r="D69" s="8">
        <f>((C69)*(H69)*(I69))/(G69*1)</f>
        <v>556.77029498290528</v>
      </c>
      <c r="E69" s="8">
        <f>D69/10000</f>
        <v>5.567702949829053E-2</v>
      </c>
      <c r="G69" s="9">
        <f>digestion_page!B25</f>
        <v>1.2577</v>
      </c>
      <c r="H69" s="9">
        <f>digestion_page!C25</f>
        <v>50</v>
      </c>
      <c r="I69" s="9">
        <f>(LEFT(B69,FIND("/",B69)-1)/RIGHT(B69,LEN(B69)-FIND("/", B69)))</f>
        <v>5</v>
      </c>
    </row>
    <row r="71" spans="1:9" x14ac:dyDescent="0.25">
      <c r="A71" s="15" t="s">
        <v>67</v>
      </c>
      <c r="B71" s="15"/>
      <c r="C71" s="13">
        <f>AVERAGE(D67:D69)</f>
        <v>534.86650819122451</v>
      </c>
    </row>
    <row r="72" spans="1:9" x14ac:dyDescent="0.25">
      <c r="A72" s="16" t="s">
        <v>67</v>
      </c>
      <c r="B72" s="16"/>
      <c r="C72" s="11">
        <f>AVERAGE(E67:E69)</f>
        <v>5.3486650819122454E-2</v>
      </c>
    </row>
    <row r="73" spans="1:9" x14ac:dyDescent="0.25">
      <c r="A73" s="16" t="s">
        <v>68</v>
      </c>
      <c r="B73" s="16"/>
      <c r="C73" s="17" t="s">
        <v>80</v>
      </c>
      <c r="D73" s="17"/>
      <c r="E73" s="17"/>
      <c r="F73" s="17"/>
    </row>
    <row r="75" spans="1:9" x14ac:dyDescent="0.25">
      <c r="A75" s="14" t="s">
        <v>69</v>
      </c>
      <c r="B75" s="14"/>
    </row>
    <row r="76" spans="1:9" x14ac:dyDescent="0.25">
      <c r="A76" s="4" t="s">
        <v>32</v>
      </c>
      <c r="B76" s="4" t="s">
        <v>33</v>
      </c>
      <c r="C76" s="4" t="s">
        <v>34</v>
      </c>
      <c r="D76" s="4" t="s">
        <v>70</v>
      </c>
      <c r="E76" s="4" t="s">
        <v>71</v>
      </c>
    </row>
    <row r="77" spans="1:9" x14ac:dyDescent="0.25">
      <c r="A77" s="4" t="s">
        <v>25</v>
      </c>
      <c r="B77" s="5" t="str">
        <f>"10/2"</f>
        <v>10/2</v>
      </c>
      <c r="C77" s="7">
        <v>2.1669999999999998</v>
      </c>
      <c r="D77" s="8">
        <f>((C77)*(H77)*(I77))/(G77*1)</f>
        <v>432.32782698906709</v>
      </c>
      <c r="E77" s="8">
        <f>D77/10000</f>
        <v>4.3232782698906708E-2</v>
      </c>
      <c r="G77" s="9">
        <f>digestion_page!B23</f>
        <v>1.2531000000000001</v>
      </c>
      <c r="H77" s="9">
        <f>digestion_page!C23</f>
        <v>50</v>
      </c>
      <c r="I77" s="9">
        <f>(LEFT(B77,FIND("/",B77)-1)/RIGHT(B77,LEN(B77)-FIND("/", B77)))</f>
        <v>5</v>
      </c>
    </row>
    <row r="78" spans="1:9" x14ac:dyDescent="0.25">
      <c r="A78" s="4" t="s">
        <v>26</v>
      </c>
      <c r="B78" s="5" t="str">
        <f t="shared" ref="B78:B79" si="7">"10/2"</f>
        <v>10/2</v>
      </c>
      <c r="C78" s="7">
        <v>2.81</v>
      </c>
      <c r="D78" s="8">
        <f>((C78)*(H78)*(I78))/(G78*1)</f>
        <v>560.83346638990906</v>
      </c>
      <c r="E78" s="8">
        <f>D78/10000</f>
        <v>5.6083346638990908E-2</v>
      </c>
      <c r="G78" s="9">
        <f>digestion_page!B24</f>
        <v>1.2525999999999999</v>
      </c>
      <c r="H78" s="9">
        <f>digestion_page!C24</f>
        <v>50</v>
      </c>
      <c r="I78" s="9">
        <f>(LEFT(B78,FIND("/",B78)-1)/RIGHT(B78,LEN(B78)-FIND("/", B78)))</f>
        <v>5</v>
      </c>
    </row>
    <row r="79" spans="1:9" x14ac:dyDescent="0.25">
      <c r="A79" s="4" t="s">
        <v>27</v>
      </c>
      <c r="B79" s="5" t="str">
        <f t="shared" si="7"/>
        <v>10/2</v>
      </c>
      <c r="C79" s="7">
        <v>2.7719999999999998</v>
      </c>
      <c r="D79" s="8">
        <f>((C79)*(H79)*(I79))/(G79*1)</f>
        <v>551.00580424584552</v>
      </c>
      <c r="E79" s="8">
        <f>D79/10000</f>
        <v>5.5100580424584551E-2</v>
      </c>
      <c r="G79" s="9">
        <f>digestion_page!B25</f>
        <v>1.2577</v>
      </c>
      <c r="H79" s="9">
        <f>digestion_page!C25</f>
        <v>50</v>
      </c>
      <c r="I79" s="9">
        <f>(LEFT(B79,FIND("/",B79)-1)/RIGHT(B79,LEN(B79)-FIND("/", B79)))</f>
        <v>5</v>
      </c>
    </row>
    <row r="81" spans="1:6" x14ac:dyDescent="0.25">
      <c r="A81" s="15" t="s">
        <v>72</v>
      </c>
      <c r="B81" s="15"/>
      <c r="C81" s="13">
        <f>AVERAGE(D77:D79)</f>
        <v>514.72236587494046</v>
      </c>
    </row>
    <row r="82" spans="1:6" x14ac:dyDescent="0.25">
      <c r="A82" s="16" t="s">
        <v>72</v>
      </c>
      <c r="B82" s="16"/>
      <c r="C82" s="11">
        <f>AVERAGE(E77:E79)</f>
        <v>5.1472236587494058E-2</v>
      </c>
    </row>
    <row r="83" spans="1:6" x14ac:dyDescent="0.25">
      <c r="A83" s="16" t="s">
        <v>73</v>
      </c>
      <c r="B83" s="16"/>
      <c r="C83" s="17" t="s">
        <v>81</v>
      </c>
      <c r="D83" s="17"/>
      <c r="E83" s="17"/>
      <c r="F83" s="17"/>
    </row>
    <row r="85" spans="1:6" x14ac:dyDescent="0.25">
      <c r="B85" s="10" t="s">
        <v>82</v>
      </c>
      <c r="C85" s="18"/>
      <c r="D85" s="18"/>
      <c r="E85" s="18"/>
      <c r="F85" s="18"/>
    </row>
    <row r="86" spans="1:6" x14ac:dyDescent="0.25">
      <c r="C86" s="18"/>
      <c r="D86" s="18"/>
      <c r="E86" s="18"/>
      <c r="F86" s="18"/>
    </row>
    <row r="87" spans="1:6" x14ac:dyDescent="0.25">
      <c r="C87" s="18"/>
      <c r="D87" s="18"/>
      <c r="E87" s="18"/>
      <c r="F87" s="18"/>
    </row>
  </sheetData>
  <mergeCells count="41">
    <mergeCell ref="C85:F87"/>
    <mergeCell ref="A73:B73"/>
    <mergeCell ref="C73:F73"/>
    <mergeCell ref="A75:B75"/>
    <mergeCell ref="A81:B81"/>
    <mergeCell ref="A82:B82"/>
    <mergeCell ref="A65:B65"/>
    <mergeCell ref="A71:B71"/>
    <mergeCell ref="A72:B72"/>
    <mergeCell ref="A83:B83"/>
    <mergeCell ref="C83:F83"/>
    <mergeCell ref="A55:B55"/>
    <mergeCell ref="A61:B61"/>
    <mergeCell ref="A62:B62"/>
    <mergeCell ref="A63:B63"/>
    <mergeCell ref="C63:F63"/>
    <mergeCell ref="A45:B45"/>
    <mergeCell ref="A51:B51"/>
    <mergeCell ref="A52:B52"/>
    <mergeCell ref="A53:B53"/>
    <mergeCell ref="C53:F53"/>
    <mergeCell ref="A35:B35"/>
    <mergeCell ref="A41:B41"/>
    <mergeCell ref="A42:B42"/>
    <mergeCell ref="A43:B43"/>
    <mergeCell ref="C43:F43"/>
    <mergeCell ref="A25:B25"/>
    <mergeCell ref="A31:B31"/>
    <mergeCell ref="A32:B32"/>
    <mergeCell ref="A33:B33"/>
    <mergeCell ref="C33:F33"/>
    <mergeCell ref="A15:B15"/>
    <mergeCell ref="A21:B21"/>
    <mergeCell ref="A22:B22"/>
    <mergeCell ref="A23:B23"/>
    <mergeCell ref="C23:F23"/>
    <mergeCell ref="A5:B5"/>
    <mergeCell ref="A11:B11"/>
    <mergeCell ref="A12:B12"/>
    <mergeCell ref="A13:B13"/>
    <mergeCell ref="C13:F13"/>
  </mergeCells>
  <conditionalFormatting sqref="C13:F13">
    <cfRule type="containsBlanks" dxfId="15" priority="1">
      <formula>LEN(TRIM(C13))=0</formula>
    </cfRule>
  </conditionalFormatting>
  <conditionalFormatting sqref="C23:F23">
    <cfRule type="containsBlanks" dxfId="14" priority="2">
      <formula>LEN(TRIM(C23))=0</formula>
    </cfRule>
  </conditionalFormatting>
  <conditionalFormatting sqref="C33:F33">
    <cfRule type="containsBlanks" dxfId="13" priority="3">
      <formula>LEN(TRIM(C33))=0</formula>
    </cfRule>
  </conditionalFormatting>
  <conditionalFormatting sqref="C43:F43">
    <cfRule type="containsBlanks" dxfId="12" priority="4">
      <formula>LEN(TRIM(C43))=0</formula>
    </cfRule>
  </conditionalFormatting>
  <conditionalFormatting sqref="C53:F53">
    <cfRule type="containsBlanks" dxfId="11" priority="5">
      <formula>LEN(TRIM(C53))=0</formula>
    </cfRule>
  </conditionalFormatting>
  <conditionalFormatting sqref="C63:F63">
    <cfRule type="containsBlanks" dxfId="10" priority="6">
      <formula>LEN(TRIM(C63))=0</formula>
    </cfRule>
  </conditionalFormatting>
  <conditionalFormatting sqref="C73:F73">
    <cfRule type="containsBlanks" dxfId="9" priority="7">
      <formula>LEN(TRIM(C73))=0</formula>
    </cfRule>
  </conditionalFormatting>
  <conditionalFormatting sqref="C83:F83">
    <cfRule type="containsBlanks" dxfId="8" priority="8">
      <formula>LEN(TRIM(C83))=0</formula>
    </cfRule>
  </conditionalFormatting>
  <pageMargins left="0.7" right="0.7" top="0.75" bottom="0.75" header="0.3" footer="0.3"/>
  <pageSetup scale="53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86"/>
  <sheetViews>
    <sheetView tabSelected="1" zoomScaleNormal="100" workbookViewId="0">
      <selection activeCell="C50" sqref="A50:C50"/>
    </sheetView>
  </sheetViews>
  <sheetFormatPr defaultRowHeight="15" x14ac:dyDescent="0.25"/>
  <cols>
    <col min="1" max="1" width="14.42578125" bestFit="1" customWidth="1"/>
    <col min="2" max="2" width="10.7109375" bestFit="1" customWidth="1"/>
    <col min="3" max="3" width="12.7109375" customWidth="1"/>
    <col min="4" max="4" width="8.42578125" bestFit="1" customWidth="1"/>
    <col min="5" max="5" width="7.7109375" customWidth="1"/>
    <col min="6" max="6" width="19" customWidth="1"/>
    <col min="7" max="78" width="7.7109375" customWidth="1"/>
  </cols>
  <sheetData>
    <row r="1" spans="1:9" x14ac:dyDescent="0.25">
      <c r="A1" s="1" t="s">
        <v>0</v>
      </c>
      <c r="B1" s="2">
        <v>46216</v>
      </c>
    </row>
    <row r="2" spans="1:9" x14ac:dyDescent="0.25">
      <c r="A2" s="1" t="s">
        <v>1</v>
      </c>
      <c r="B2" s="3" t="s">
        <v>2</v>
      </c>
    </row>
    <row r="5" spans="1:9" x14ac:dyDescent="0.25">
      <c r="A5" s="14" t="s">
        <v>31</v>
      </c>
      <c r="B5" s="14"/>
    </row>
    <row r="6" spans="1:9" x14ac:dyDescent="0.25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</row>
    <row r="7" spans="1:9" x14ac:dyDescent="0.25">
      <c r="A7" s="4" t="s">
        <v>28</v>
      </c>
      <c r="B7" s="5" t="str">
        <f>"10/2"</f>
        <v>10/2</v>
      </c>
      <c r="C7" s="7">
        <f>AVERAGE(2.597)</f>
        <v>2.597</v>
      </c>
      <c r="D7" s="8">
        <f>((C7)*(H7)*(I7))/(G7*1)</f>
        <v>517.0422871705025</v>
      </c>
      <c r="E7" s="8">
        <f>D7/10000</f>
        <v>5.170422871705025E-2</v>
      </c>
      <c r="G7" s="9">
        <f>digestion_page!B26</f>
        <v>1.2557</v>
      </c>
      <c r="H7" s="9">
        <f>digestion_page!C26</f>
        <v>50</v>
      </c>
      <c r="I7" s="9">
        <f>(LEFT(B7,FIND("/",B7)-1)/RIGHT(B7,LEN(B7)-FIND("/", B7)))</f>
        <v>5</v>
      </c>
    </row>
    <row r="8" spans="1:9" x14ac:dyDescent="0.25">
      <c r="A8" s="4" t="s">
        <v>29</v>
      </c>
      <c r="B8" s="5" t="str">
        <f t="shared" ref="B8:B9" si="0">"10/2"</f>
        <v>10/2</v>
      </c>
      <c r="C8" s="7">
        <f>2.611</f>
        <v>2.6110000000000002</v>
      </c>
      <c r="D8" s="8">
        <f>((C8)*(H8)*(I8))/(G8*1)</f>
        <v>520.3268234356317</v>
      </c>
      <c r="E8" s="8">
        <f>D8/10000</f>
        <v>5.2032682343563168E-2</v>
      </c>
      <c r="G8" s="9">
        <f>digestion_page!B27</f>
        <v>1.2544999999999999</v>
      </c>
      <c r="H8" s="9">
        <f>digestion_page!C27</f>
        <v>50</v>
      </c>
      <c r="I8" s="9">
        <f>(LEFT(B8,FIND("/",B8)-1)/RIGHT(B8,LEN(B8)-FIND("/", B8)))</f>
        <v>5</v>
      </c>
    </row>
    <row r="9" spans="1:9" x14ac:dyDescent="0.25">
      <c r="A9" s="4" t="s">
        <v>30</v>
      </c>
      <c r="B9" s="5" t="str">
        <f t="shared" si="0"/>
        <v>10/2</v>
      </c>
      <c r="C9" s="7">
        <v>2.875</v>
      </c>
      <c r="D9" s="8">
        <f>((C9)*(H9)*(I9))/(G9*1)</f>
        <v>572.20762678130723</v>
      </c>
      <c r="E9" s="8">
        <f>D9/10000</f>
        <v>5.722076267813072E-2</v>
      </c>
      <c r="G9" s="9">
        <f>digestion_page!B28</f>
        <v>1.2561</v>
      </c>
      <c r="H9" s="9">
        <f>digestion_page!C28</f>
        <v>50</v>
      </c>
      <c r="I9" s="9">
        <f>(LEFT(B9,FIND("/",B9)-1)/RIGHT(B9,LEN(B9)-FIND("/", B9)))</f>
        <v>5</v>
      </c>
    </row>
    <row r="11" spans="1:9" x14ac:dyDescent="0.25">
      <c r="A11" s="15" t="s">
        <v>37</v>
      </c>
      <c r="B11" s="15"/>
      <c r="C11" s="13">
        <f>AVERAGE(D7:D9)</f>
        <v>536.5255791291471</v>
      </c>
    </row>
    <row r="12" spans="1:9" x14ac:dyDescent="0.25">
      <c r="A12" s="16" t="s">
        <v>37</v>
      </c>
      <c r="B12" s="16"/>
      <c r="C12" s="11">
        <f>AVERAGE(E7:E9)</f>
        <v>5.3652557912914713E-2</v>
      </c>
    </row>
    <row r="13" spans="1:9" x14ac:dyDescent="0.25">
      <c r="A13" s="16" t="s">
        <v>38</v>
      </c>
      <c r="B13" s="16"/>
      <c r="C13" s="17" t="s">
        <v>74</v>
      </c>
      <c r="D13" s="17"/>
      <c r="E13" s="17"/>
      <c r="F13" s="17"/>
    </row>
    <row r="15" spans="1:9" x14ac:dyDescent="0.25">
      <c r="A15" s="14" t="s">
        <v>39</v>
      </c>
      <c r="B15" s="14"/>
    </row>
    <row r="16" spans="1:9" x14ac:dyDescent="0.25">
      <c r="A16" s="4" t="s">
        <v>32</v>
      </c>
      <c r="B16" s="4" t="s">
        <v>33</v>
      </c>
      <c r="C16" s="4" t="s">
        <v>34</v>
      </c>
      <c r="D16" s="4" t="s">
        <v>40</v>
      </c>
      <c r="E16" s="4" t="s">
        <v>41</v>
      </c>
    </row>
    <row r="17" spans="1:9" x14ac:dyDescent="0.25">
      <c r="A17" s="4" t="s">
        <v>28</v>
      </c>
      <c r="B17" s="5" t="str">
        <f>"10/2"</f>
        <v>10/2</v>
      </c>
      <c r="C17" s="7">
        <v>2.222</v>
      </c>
      <c r="D17" s="8">
        <f>((C17)*(H17)*(I17))/(G17*1)</f>
        <v>442.38273472963289</v>
      </c>
      <c r="E17" s="8">
        <f>D17/10000</f>
        <v>4.4238273472963288E-2</v>
      </c>
      <c r="G17" s="9">
        <f>digestion_page!B26</f>
        <v>1.2557</v>
      </c>
      <c r="H17" s="9">
        <f>digestion_page!C26</f>
        <v>50</v>
      </c>
      <c r="I17" s="9">
        <f>(LEFT(B17,FIND("/",B17)-1)/RIGHT(B17,LEN(B17)-FIND("/", B17)))</f>
        <v>5</v>
      </c>
    </row>
    <row r="18" spans="1:9" x14ac:dyDescent="0.25">
      <c r="A18" s="4" t="s">
        <v>29</v>
      </c>
      <c r="B18" s="5" t="str">
        <f t="shared" ref="B18:B19" si="1">"10/2"</f>
        <v>10/2</v>
      </c>
      <c r="C18" s="7">
        <v>2.4470000000000001</v>
      </c>
      <c r="D18" s="8">
        <f>((C18)*(H18)*(I18))/(G18*1)</f>
        <v>487.64447987245916</v>
      </c>
      <c r="E18" s="8">
        <f>D18/10000</f>
        <v>4.8764447987245912E-2</v>
      </c>
      <c r="G18" s="9">
        <f>digestion_page!B27</f>
        <v>1.2544999999999999</v>
      </c>
      <c r="H18" s="9">
        <f>digestion_page!C27</f>
        <v>50</v>
      </c>
      <c r="I18" s="9">
        <f>(LEFT(B18,FIND("/",B18)-1)/RIGHT(B18,LEN(B18)-FIND("/", B18)))</f>
        <v>5</v>
      </c>
    </row>
    <row r="19" spans="1:9" x14ac:dyDescent="0.25">
      <c r="A19" s="4" t="s">
        <v>30</v>
      </c>
      <c r="B19" s="5" t="str">
        <f t="shared" si="1"/>
        <v>10/2</v>
      </c>
      <c r="C19" s="7">
        <v>2.157</v>
      </c>
      <c r="D19" s="8">
        <f>((C19)*(H19)*(I19))/(G19*1)</f>
        <v>429.30499164079293</v>
      </c>
      <c r="E19" s="8">
        <f>D19/10000</f>
        <v>4.2930499164079296E-2</v>
      </c>
      <c r="G19" s="9">
        <f>digestion_page!B28</f>
        <v>1.2561</v>
      </c>
      <c r="H19" s="9">
        <f>digestion_page!C28</f>
        <v>50</v>
      </c>
      <c r="I19" s="9">
        <f>(LEFT(B19,FIND("/",B19)-1)/RIGHT(B19,LEN(B19)-FIND("/", B19)))</f>
        <v>5</v>
      </c>
    </row>
    <row r="21" spans="1:9" x14ac:dyDescent="0.25">
      <c r="A21" s="15" t="s">
        <v>42</v>
      </c>
      <c r="B21" s="15"/>
      <c r="C21" s="13">
        <f>AVERAGE(D17:D19)</f>
        <v>453.11073541429499</v>
      </c>
    </row>
    <row r="22" spans="1:9" x14ac:dyDescent="0.25">
      <c r="A22" s="16" t="s">
        <v>42</v>
      </c>
      <c r="B22" s="16"/>
      <c r="C22" s="11">
        <f>AVERAGE(E17:E19)</f>
        <v>4.5311073541429499E-2</v>
      </c>
    </row>
    <row r="23" spans="1:9" x14ac:dyDescent="0.25">
      <c r="A23" s="16" t="s">
        <v>43</v>
      </c>
      <c r="B23" s="16"/>
      <c r="C23" s="17" t="s">
        <v>75</v>
      </c>
      <c r="D23" s="17"/>
      <c r="E23" s="17"/>
      <c r="F23" s="17"/>
    </row>
    <row r="25" spans="1:9" x14ac:dyDescent="0.25">
      <c r="A25" s="14" t="s">
        <v>44</v>
      </c>
      <c r="B25" s="14"/>
    </row>
    <row r="26" spans="1:9" x14ac:dyDescent="0.25">
      <c r="A26" s="4" t="s">
        <v>32</v>
      </c>
      <c r="B26" s="4" t="s">
        <v>33</v>
      </c>
      <c r="C26" s="4" t="s">
        <v>34</v>
      </c>
      <c r="D26" s="4" t="s">
        <v>45</v>
      </c>
      <c r="E26" s="4" t="s">
        <v>46</v>
      </c>
    </row>
    <row r="27" spans="1:9" x14ac:dyDescent="0.25">
      <c r="A27" s="4" t="s">
        <v>28</v>
      </c>
      <c r="B27" s="5" t="str">
        <f>"10/2"</f>
        <v>10/2</v>
      </c>
      <c r="C27" s="7">
        <f>AVERAGE(2.53,2.484,2.845)</f>
        <v>2.6196666666666668</v>
      </c>
      <c r="D27" s="8">
        <f>((C27)*(H27)*(I27))/(G27*1)</f>
        <v>521.55504234026182</v>
      </c>
      <c r="E27" s="8">
        <f>D27/10000</f>
        <v>5.2155504234026179E-2</v>
      </c>
      <c r="G27" s="9">
        <f>digestion_page!B26</f>
        <v>1.2557</v>
      </c>
      <c r="H27" s="9">
        <f>digestion_page!C26</f>
        <v>50</v>
      </c>
      <c r="I27" s="9">
        <f>(LEFT(B27,FIND("/",B27)-1)/RIGHT(B27,LEN(B27)-FIND("/", B27)))</f>
        <v>5</v>
      </c>
    </row>
    <row r="28" spans="1:9" x14ac:dyDescent="0.25">
      <c r="A28" s="4" t="s">
        <v>29</v>
      </c>
      <c r="B28" s="5" t="str">
        <f t="shared" ref="B28:B29" si="2">"10/2"</f>
        <v>10/2</v>
      </c>
      <c r="C28" s="7">
        <f>AVERAGE(2.747,2.683,2.967)</f>
        <v>2.7989999999999999</v>
      </c>
      <c r="D28" s="8">
        <f>((C28)*(H28)*(I28))/(G28*1)</f>
        <v>557.79194898365881</v>
      </c>
      <c r="E28" s="8">
        <f>D28/10000</f>
        <v>5.5779194898365879E-2</v>
      </c>
      <c r="G28" s="9">
        <f>digestion_page!B27</f>
        <v>1.2544999999999999</v>
      </c>
      <c r="H28" s="9">
        <f>digestion_page!C27</f>
        <v>50</v>
      </c>
      <c r="I28" s="9">
        <f>(LEFT(B28,FIND("/",B28)-1)/RIGHT(B28,LEN(B28)-FIND("/", B28)))</f>
        <v>5</v>
      </c>
    </row>
    <row r="29" spans="1:9" x14ac:dyDescent="0.25">
      <c r="A29" s="4" t="s">
        <v>30</v>
      </c>
      <c r="B29" s="5" t="str">
        <f t="shared" si="2"/>
        <v>10/2</v>
      </c>
      <c r="C29" s="7">
        <f>AVERAGE(2.534,2.48,2.735)</f>
        <v>2.5829999999999997</v>
      </c>
      <c r="D29" s="8">
        <f>((C29)*(H29)*(I29))/(G29*1)</f>
        <v>514.09123477430137</v>
      </c>
      <c r="E29" s="8">
        <f>D29/10000</f>
        <v>5.1409123477430138E-2</v>
      </c>
      <c r="G29" s="9">
        <f>digestion_page!B28</f>
        <v>1.2561</v>
      </c>
      <c r="H29" s="9">
        <f>digestion_page!C28</f>
        <v>50</v>
      </c>
      <c r="I29" s="9">
        <f>(LEFT(B29,FIND("/",B29)-1)/RIGHT(B29,LEN(B29)-FIND("/", B29)))</f>
        <v>5</v>
      </c>
    </row>
    <row r="31" spans="1:9" x14ac:dyDescent="0.25">
      <c r="A31" s="15" t="s">
        <v>47</v>
      </c>
      <c r="B31" s="15"/>
      <c r="C31" s="13">
        <f>AVERAGE(D27:D29)</f>
        <v>531.146075366074</v>
      </c>
    </row>
    <row r="32" spans="1:9" x14ac:dyDescent="0.25">
      <c r="A32" s="16" t="s">
        <v>47</v>
      </c>
      <c r="B32" s="16"/>
      <c r="C32" s="11">
        <f>AVERAGE(E27:E29)</f>
        <v>5.3114607536607406E-2</v>
      </c>
    </row>
    <row r="33" spans="1:9" x14ac:dyDescent="0.25">
      <c r="A33" s="16" t="s">
        <v>48</v>
      </c>
      <c r="B33" s="16"/>
      <c r="C33" s="17" t="s">
        <v>76</v>
      </c>
      <c r="D33" s="17"/>
      <c r="E33" s="17"/>
      <c r="F33" s="17"/>
    </row>
    <row r="35" spans="1:9" x14ac:dyDescent="0.25">
      <c r="A35" s="14" t="s">
        <v>49</v>
      </c>
      <c r="B35" s="14"/>
    </row>
    <row r="36" spans="1:9" x14ac:dyDescent="0.25">
      <c r="A36" s="4" t="s">
        <v>32</v>
      </c>
      <c r="B36" s="4" t="s">
        <v>33</v>
      </c>
      <c r="C36" s="4" t="s">
        <v>34</v>
      </c>
      <c r="D36" s="4" t="s">
        <v>50</v>
      </c>
      <c r="E36" s="4" t="s">
        <v>51</v>
      </c>
    </row>
    <row r="37" spans="1:9" x14ac:dyDescent="0.25">
      <c r="A37" s="4" t="s">
        <v>29</v>
      </c>
      <c r="B37" s="5" t="str">
        <f t="shared" ref="B37:B38" si="3">"10/2"</f>
        <v>10/2</v>
      </c>
      <c r="C37" s="7">
        <v>2.9260000000000002</v>
      </c>
      <c r="D37" s="8">
        <f>((C37)*(H37)*(I37))/(G37*1)</f>
        <v>583.10083698684741</v>
      </c>
      <c r="E37" s="8">
        <f>D37/10000</f>
        <v>5.8310083698684741E-2</v>
      </c>
      <c r="G37" s="9">
        <f>digestion_page!B27</f>
        <v>1.2544999999999999</v>
      </c>
      <c r="H37" s="9">
        <f>digestion_page!C27</f>
        <v>50</v>
      </c>
      <c r="I37" s="9">
        <f>(LEFT(B37,FIND("/",B37)-1)/RIGHT(B37,LEN(B37)-FIND("/", B37)))</f>
        <v>5</v>
      </c>
    </row>
    <row r="38" spans="1:9" x14ac:dyDescent="0.25">
      <c r="A38" s="4" t="s">
        <v>30</v>
      </c>
      <c r="B38" s="5" t="str">
        <f t="shared" si="3"/>
        <v>10/2</v>
      </c>
      <c r="C38" s="7">
        <v>2.4700000000000002</v>
      </c>
      <c r="D38" s="8">
        <f>((C38)*(H38)*(I38))/(G38*1)</f>
        <v>491.60098718254926</v>
      </c>
      <c r="E38" s="8">
        <f>D38/10000</f>
        <v>4.9160098718254927E-2</v>
      </c>
      <c r="G38" s="9">
        <f>digestion_page!B28</f>
        <v>1.2561</v>
      </c>
      <c r="H38" s="9">
        <f>digestion_page!C28</f>
        <v>50</v>
      </c>
      <c r="I38" s="9">
        <f>(LEFT(B38,FIND("/",B38)-1)/RIGHT(B38,LEN(B38)-FIND("/", B38)))</f>
        <v>5</v>
      </c>
    </row>
    <row r="40" spans="1:9" x14ac:dyDescent="0.25">
      <c r="A40" s="15" t="s">
        <v>52</v>
      </c>
      <c r="B40" s="15"/>
      <c r="C40" s="13">
        <f>AVERAGE(D37:D38)</f>
        <v>537.35091208469839</v>
      </c>
    </row>
    <row r="41" spans="1:9" x14ac:dyDescent="0.25">
      <c r="A41" s="16" t="s">
        <v>52</v>
      </c>
      <c r="B41" s="16"/>
      <c r="C41" s="11">
        <f>AVERAGE(E37:E38)</f>
        <v>5.3735091208469837E-2</v>
      </c>
    </row>
    <row r="42" spans="1:9" x14ac:dyDescent="0.25">
      <c r="A42" s="16" t="s">
        <v>53</v>
      </c>
      <c r="B42" s="16"/>
      <c r="C42" s="17" t="s">
        <v>77</v>
      </c>
      <c r="D42" s="17"/>
      <c r="E42" s="17"/>
      <c r="F42" s="17"/>
    </row>
    <row r="44" spans="1:9" x14ac:dyDescent="0.25">
      <c r="A44" s="14" t="s">
        <v>54</v>
      </c>
      <c r="B44" s="14"/>
    </row>
    <row r="45" spans="1:9" x14ac:dyDescent="0.25">
      <c r="A45" s="4" t="s">
        <v>32</v>
      </c>
      <c r="B45" s="4" t="s">
        <v>33</v>
      </c>
      <c r="C45" s="4" t="s">
        <v>34</v>
      </c>
      <c r="D45" s="4" t="s">
        <v>55</v>
      </c>
      <c r="E45" s="4" t="s">
        <v>56</v>
      </c>
    </row>
    <row r="46" spans="1:9" x14ac:dyDescent="0.25">
      <c r="A46" s="4" t="s">
        <v>28</v>
      </c>
      <c r="B46" s="5" t="str">
        <f>"25/1"</f>
        <v>25/1</v>
      </c>
      <c r="C46" s="7">
        <v>0.88700000000000001</v>
      </c>
      <c r="D46" s="8">
        <f>((C46)*(H46)*(I46))/(G46*1)</f>
        <v>882.97364020068483</v>
      </c>
      <c r="E46" s="8">
        <f>D46/10000</f>
        <v>8.8297364020068478E-2</v>
      </c>
      <c r="G46" s="9">
        <f>digestion_page!B26</f>
        <v>1.2557</v>
      </c>
      <c r="H46" s="9">
        <f>digestion_page!C26</f>
        <v>50</v>
      </c>
      <c r="I46" s="9">
        <f>(LEFT(B46,FIND("/",B46)-1)/RIGHT(B46,LEN(B46)-FIND("/", B46)))</f>
        <v>25</v>
      </c>
    </row>
    <row r="47" spans="1:9" x14ac:dyDescent="0.25">
      <c r="A47" s="4" t="s">
        <v>29</v>
      </c>
      <c r="B47" s="5" t="str">
        <f t="shared" ref="B47:B48" si="4">"25/1"</f>
        <v>25/1</v>
      </c>
      <c r="C47" s="7">
        <v>0.91</v>
      </c>
      <c r="D47" s="8">
        <f>((C47)*(H47)*(I47))/(G47*1)</f>
        <v>906.73575129533685</v>
      </c>
      <c r="E47" s="8">
        <f>D47/10000</f>
        <v>9.0673575129533682E-2</v>
      </c>
      <c r="G47" s="9">
        <f>digestion_page!B27</f>
        <v>1.2544999999999999</v>
      </c>
      <c r="H47" s="9">
        <f>digestion_page!C27</f>
        <v>50</v>
      </c>
      <c r="I47" s="9">
        <f>(LEFT(B47,FIND("/",B47)-1)/RIGHT(B47,LEN(B47)-FIND("/", B47)))</f>
        <v>25</v>
      </c>
    </row>
    <row r="48" spans="1:9" x14ac:dyDescent="0.25">
      <c r="A48" s="4" t="s">
        <v>30</v>
      </c>
      <c r="B48" s="5" t="str">
        <f t="shared" si="4"/>
        <v>25/1</v>
      </c>
      <c r="C48" s="7">
        <v>0.90800000000000003</v>
      </c>
      <c r="D48" s="8">
        <f>((C48)*(H48)*(I48))/(G48*1)</f>
        <v>903.59047846509031</v>
      </c>
      <c r="E48" s="8">
        <f>D48/10000</f>
        <v>9.0359047846509027E-2</v>
      </c>
      <c r="G48" s="9">
        <f>digestion_page!B28</f>
        <v>1.2561</v>
      </c>
      <c r="H48" s="9">
        <f>digestion_page!C28</f>
        <v>50</v>
      </c>
      <c r="I48" s="9">
        <f>(LEFT(B48,FIND("/",B48)-1)/RIGHT(B48,LEN(B48)-FIND("/", B48)))</f>
        <v>25</v>
      </c>
    </row>
    <row r="50" spans="1:9" x14ac:dyDescent="0.25">
      <c r="A50" s="15" t="s">
        <v>57</v>
      </c>
      <c r="B50" s="15"/>
      <c r="C50" s="13">
        <f>AVERAGE(D46:D48)</f>
        <v>897.76662332037074</v>
      </c>
    </row>
    <row r="51" spans="1:9" x14ac:dyDescent="0.25">
      <c r="A51" s="16" t="s">
        <v>57</v>
      </c>
      <c r="B51" s="16"/>
      <c r="C51" s="11">
        <f>AVERAGE(E46:E48)</f>
        <v>8.9776662332037072E-2</v>
      </c>
    </row>
    <row r="52" spans="1:9" x14ac:dyDescent="0.25">
      <c r="A52" s="16" t="s">
        <v>58</v>
      </c>
      <c r="B52" s="16"/>
      <c r="C52" s="17" t="s">
        <v>78</v>
      </c>
      <c r="D52" s="17"/>
      <c r="E52" s="17"/>
      <c r="F52" s="17"/>
    </row>
    <row r="54" spans="1:9" x14ac:dyDescent="0.25">
      <c r="A54" s="14" t="s">
        <v>59</v>
      </c>
      <c r="B54" s="14"/>
    </row>
    <row r="55" spans="1:9" x14ac:dyDescent="0.25">
      <c r="A55" s="4" t="s">
        <v>32</v>
      </c>
      <c r="B55" s="4" t="s">
        <v>33</v>
      </c>
      <c r="C55" s="4" t="s">
        <v>34</v>
      </c>
      <c r="D55" s="4" t="s">
        <v>60</v>
      </c>
      <c r="E55" s="4" t="s">
        <v>61</v>
      </c>
    </row>
    <row r="56" spans="1:9" x14ac:dyDescent="0.25">
      <c r="A56" s="4" t="s">
        <v>28</v>
      </c>
      <c r="B56" s="5" t="str">
        <f>"25/2"</f>
        <v>25/2</v>
      </c>
      <c r="C56" s="7">
        <v>1.091</v>
      </c>
      <c r="D56" s="8">
        <f>((C56)*(H56)*(I56))/(G56*1)</f>
        <v>543.0238114199251</v>
      </c>
      <c r="E56" s="8">
        <f>D56/10000</f>
        <v>5.4302381141992512E-2</v>
      </c>
      <c r="G56" s="9">
        <f>digestion_page!B26</f>
        <v>1.2557</v>
      </c>
      <c r="H56" s="9">
        <f>digestion_page!C26</f>
        <v>50</v>
      </c>
      <c r="I56" s="9">
        <f>(LEFT(B56,FIND("/",B56)-1)/RIGHT(B56,LEN(B56)-FIND("/", B56)))</f>
        <v>12.5</v>
      </c>
    </row>
    <row r="57" spans="1:9" x14ac:dyDescent="0.25">
      <c r="A57" s="4" t="s">
        <v>29</v>
      </c>
      <c r="B57" s="5" t="str">
        <f t="shared" ref="B57:B58" si="5">"25/2"</f>
        <v>25/2</v>
      </c>
      <c r="C57" s="7">
        <v>1.087</v>
      </c>
      <c r="D57" s="8">
        <f>((C57)*(H57)*(I57))/(G57*1)</f>
        <v>541.55041849342365</v>
      </c>
      <c r="E57" s="8">
        <f>D57/10000</f>
        <v>5.4155041849342368E-2</v>
      </c>
      <c r="G57" s="9">
        <f>digestion_page!B27</f>
        <v>1.2544999999999999</v>
      </c>
      <c r="H57" s="9">
        <f>digestion_page!C27</f>
        <v>50</v>
      </c>
      <c r="I57" s="9">
        <f>(LEFT(B57,FIND("/",B57)-1)/RIGHT(B57,LEN(B57)-FIND("/", B57)))</f>
        <v>12.5</v>
      </c>
    </row>
    <row r="58" spans="1:9" x14ac:dyDescent="0.25">
      <c r="A58" s="4" t="s">
        <v>30</v>
      </c>
      <c r="B58" s="5" t="str">
        <f t="shared" si="5"/>
        <v>25/2</v>
      </c>
      <c r="C58" s="7">
        <v>1.087</v>
      </c>
      <c r="D58" s="8">
        <f>((C58)*(H58)*(I58))/(G58*1)</f>
        <v>540.86060027067913</v>
      </c>
      <c r="E58" s="8">
        <f>D58/10000</f>
        <v>5.4086060027067916E-2</v>
      </c>
      <c r="G58" s="9">
        <f>digestion_page!B28</f>
        <v>1.2561</v>
      </c>
      <c r="H58" s="9">
        <f>digestion_page!C28</f>
        <v>50</v>
      </c>
      <c r="I58" s="9">
        <f>(LEFT(B58,FIND("/",B58)-1)/RIGHT(B58,LEN(B58)-FIND("/", B58)))</f>
        <v>12.5</v>
      </c>
    </row>
    <row r="60" spans="1:9" x14ac:dyDescent="0.25">
      <c r="A60" s="15" t="s">
        <v>62</v>
      </c>
      <c r="B60" s="15"/>
      <c r="C60" s="13">
        <f>AVERAGE(D56:D58)</f>
        <v>541.81161006134255</v>
      </c>
    </row>
    <row r="61" spans="1:9" x14ac:dyDescent="0.25">
      <c r="A61" s="16" t="s">
        <v>62</v>
      </c>
      <c r="B61" s="16"/>
      <c r="C61" s="11">
        <f>AVERAGE(E56:E58)</f>
        <v>5.4181161006134265E-2</v>
      </c>
    </row>
    <row r="62" spans="1:9" x14ac:dyDescent="0.25">
      <c r="A62" s="16" t="s">
        <v>63</v>
      </c>
      <c r="B62" s="16"/>
      <c r="C62" s="17" t="s">
        <v>79</v>
      </c>
      <c r="D62" s="17"/>
      <c r="E62" s="17"/>
      <c r="F62" s="17"/>
    </row>
    <row r="64" spans="1:9" x14ac:dyDescent="0.25">
      <c r="A64" s="14" t="s">
        <v>64</v>
      </c>
      <c r="B64" s="14"/>
    </row>
    <row r="65" spans="1:9" x14ac:dyDescent="0.25">
      <c r="A65" s="4" t="s">
        <v>32</v>
      </c>
      <c r="B65" s="4" t="s">
        <v>33</v>
      </c>
      <c r="C65" s="4" t="s">
        <v>34</v>
      </c>
      <c r="D65" s="4" t="s">
        <v>65</v>
      </c>
      <c r="E65" s="4" t="s">
        <v>66</v>
      </c>
    </row>
    <row r="66" spans="1:9" x14ac:dyDescent="0.25">
      <c r="A66" s="4" t="s">
        <v>28</v>
      </c>
      <c r="B66" s="5" t="str">
        <f>"10/2"</f>
        <v>10/2</v>
      </c>
      <c r="C66" s="7">
        <f>AVERAGE(2.843,2.678)</f>
        <v>2.7605</v>
      </c>
      <c r="D66" s="8">
        <f>((C66)*(H66)*(I66))/(G66*1)</f>
        <v>549.59385203472164</v>
      </c>
      <c r="E66" s="8">
        <f>D66/10000</f>
        <v>5.4959385203472162E-2</v>
      </c>
      <c r="G66" s="9">
        <f>digestion_page!B26</f>
        <v>1.2557</v>
      </c>
      <c r="H66" s="9">
        <f>digestion_page!C26</f>
        <v>50</v>
      </c>
      <c r="I66" s="9">
        <f>(LEFT(B66,FIND("/",B66)-1)/RIGHT(B66,LEN(B66)-FIND("/", B66)))</f>
        <v>5</v>
      </c>
    </row>
    <row r="67" spans="1:9" x14ac:dyDescent="0.25">
      <c r="A67" s="4" t="s">
        <v>29</v>
      </c>
      <c r="B67" s="5" t="str">
        <f t="shared" ref="B67:B68" si="6">"10/2"</f>
        <v>10/2</v>
      </c>
      <c r="C67" s="7">
        <f>AVERAGE(2.777,2.563)</f>
        <v>2.67</v>
      </c>
      <c r="D67" s="8">
        <f>((C67)*(H67)*(I67))/(G67*1)</f>
        <v>532.08449581506579</v>
      </c>
      <c r="E67" s="8">
        <f>D67/10000</f>
        <v>5.3208449581506577E-2</v>
      </c>
      <c r="G67" s="9">
        <f>digestion_page!B27</f>
        <v>1.2544999999999999</v>
      </c>
      <c r="H67" s="9">
        <f>digestion_page!C27</f>
        <v>50</v>
      </c>
      <c r="I67" s="9">
        <f>(LEFT(B67,FIND("/",B67)-1)/RIGHT(B67,LEN(B67)-FIND("/", B67)))</f>
        <v>5</v>
      </c>
    </row>
    <row r="68" spans="1:9" x14ac:dyDescent="0.25">
      <c r="A68" s="4" t="s">
        <v>30</v>
      </c>
      <c r="B68" s="5" t="str">
        <f t="shared" si="6"/>
        <v>10/2</v>
      </c>
      <c r="C68" s="7">
        <f>AVERAGE(2.74,2.637)</f>
        <v>2.6885000000000003</v>
      </c>
      <c r="D68" s="8">
        <f>((C68)*(H68)*(I68))/(G68*1)</f>
        <v>535.08876681792856</v>
      </c>
      <c r="E68" s="8">
        <f>D68/10000</f>
        <v>5.3508876681792855E-2</v>
      </c>
      <c r="G68" s="9">
        <f>digestion_page!B28</f>
        <v>1.2561</v>
      </c>
      <c r="H68" s="9">
        <f>digestion_page!C28</f>
        <v>50</v>
      </c>
      <c r="I68" s="9">
        <f>(LEFT(B68,FIND("/",B68)-1)/RIGHT(B68,LEN(B68)-FIND("/", B68)))</f>
        <v>5</v>
      </c>
    </row>
    <row r="70" spans="1:9" x14ac:dyDescent="0.25">
      <c r="A70" s="15" t="s">
        <v>67</v>
      </c>
      <c r="B70" s="15"/>
      <c r="C70" s="13">
        <f>AVERAGE(D66:D68)</f>
        <v>538.92237155590522</v>
      </c>
    </row>
    <row r="71" spans="1:9" x14ac:dyDescent="0.25">
      <c r="A71" s="16" t="s">
        <v>67</v>
      </c>
      <c r="B71" s="16"/>
      <c r="C71" s="11">
        <f>AVERAGE(E66:E68)</f>
        <v>5.3892237155590529E-2</v>
      </c>
    </row>
    <row r="72" spans="1:9" x14ac:dyDescent="0.25">
      <c r="A72" s="16" t="s">
        <v>68</v>
      </c>
      <c r="B72" s="16"/>
      <c r="C72" s="17" t="s">
        <v>80</v>
      </c>
      <c r="D72" s="17"/>
      <c r="E72" s="17"/>
      <c r="F72" s="17"/>
    </row>
    <row r="74" spans="1:9" x14ac:dyDescent="0.25">
      <c r="A74" s="14" t="s">
        <v>69</v>
      </c>
      <c r="B74" s="14"/>
    </row>
    <row r="75" spans="1:9" x14ac:dyDescent="0.25">
      <c r="A75" s="4" t="s">
        <v>32</v>
      </c>
      <c r="B75" s="4" t="s">
        <v>33</v>
      </c>
      <c r="C75" s="4" t="s">
        <v>34</v>
      </c>
      <c r="D75" s="4" t="s">
        <v>70</v>
      </c>
      <c r="E75" s="4" t="s">
        <v>71</v>
      </c>
    </row>
    <row r="76" spans="1:9" x14ac:dyDescent="0.25">
      <c r="A76" s="4" t="s">
        <v>28</v>
      </c>
      <c r="B76" s="5" t="str">
        <f>"10/2"</f>
        <v>10/2</v>
      </c>
      <c r="C76" s="7">
        <f>AVERAGE(2.635,2.624,2.633,2.543)</f>
        <v>2.6087500000000001</v>
      </c>
      <c r="D76" s="8">
        <f>((C76)*(H76)*(I76))/(G76*1)</f>
        <v>519.38161981364976</v>
      </c>
      <c r="E76" s="8">
        <f>D76/10000</f>
        <v>5.1938161981364979E-2</v>
      </c>
      <c r="G76" s="9">
        <f>digestion_page!B26</f>
        <v>1.2557</v>
      </c>
      <c r="H76" s="9">
        <f>digestion_page!C26</f>
        <v>50</v>
      </c>
      <c r="I76" s="9">
        <f>(LEFT(B76,FIND("/",B76)-1)/RIGHT(B76,LEN(B76)-FIND("/", B76)))</f>
        <v>5</v>
      </c>
    </row>
    <row r="77" spans="1:9" x14ac:dyDescent="0.25">
      <c r="A77" s="4" t="s">
        <v>29</v>
      </c>
      <c r="B77" s="5" t="str">
        <f t="shared" ref="B77:B78" si="7">"10/2"</f>
        <v>10/2</v>
      </c>
      <c r="C77" s="7">
        <f>AVERAGE(2.616,2.64,2.594,2.505)</f>
        <v>2.5887500000000001</v>
      </c>
      <c r="D77" s="8">
        <f>((C77)*(H77)*(I77))/(G77*1)</f>
        <v>515.89278597050622</v>
      </c>
      <c r="E77" s="8">
        <f>D77/10000</f>
        <v>5.158927859705062E-2</v>
      </c>
      <c r="G77" s="9">
        <f>digestion_page!B27</f>
        <v>1.2544999999999999</v>
      </c>
      <c r="H77" s="9">
        <f>digestion_page!C27</f>
        <v>50</v>
      </c>
      <c r="I77" s="9">
        <f>(LEFT(B77,FIND("/",B77)-1)/RIGHT(B77,LEN(B77)-FIND("/", B77)))</f>
        <v>5</v>
      </c>
    </row>
    <row r="78" spans="1:9" x14ac:dyDescent="0.25">
      <c r="A78" s="4" t="s">
        <v>30</v>
      </c>
      <c r="B78" s="5" t="str">
        <f t="shared" si="7"/>
        <v>10/2</v>
      </c>
      <c r="C78" s="7">
        <f>AVERAGE(2.494,2.522,2.531,2.415)</f>
        <v>2.4904999999999999</v>
      </c>
      <c r="D78" s="8">
        <f>((C78)*(H78)*(I78))/(G78*1)</f>
        <v>495.68107634742455</v>
      </c>
      <c r="E78" s="8">
        <f>D78/10000</f>
        <v>4.9568107634742453E-2</v>
      </c>
      <c r="G78" s="9">
        <f>digestion_page!B28</f>
        <v>1.2561</v>
      </c>
      <c r="H78" s="9">
        <f>digestion_page!C28</f>
        <v>50</v>
      </c>
      <c r="I78" s="9">
        <f>(LEFT(B78,FIND("/",B78)-1)/RIGHT(B78,LEN(B78)-FIND("/", B78)))</f>
        <v>5</v>
      </c>
    </row>
    <row r="80" spans="1:9" x14ac:dyDescent="0.25">
      <c r="A80" s="15" t="s">
        <v>72</v>
      </c>
      <c r="B80" s="15"/>
      <c r="C80" s="13">
        <f>AVERAGE(D76:D78)</f>
        <v>510.3184940438602</v>
      </c>
    </row>
    <row r="81" spans="1:6" x14ac:dyDescent="0.25">
      <c r="A81" s="16" t="s">
        <v>72</v>
      </c>
      <c r="B81" s="16"/>
      <c r="C81" s="11">
        <f>AVERAGE(E76:E78)</f>
        <v>5.1031849404386015E-2</v>
      </c>
    </row>
    <row r="82" spans="1:6" x14ac:dyDescent="0.25">
      <c r="A82" s="16" t="s">
        <v>73</v>
      </c>
      <c r="B82" s="16"/>
      <c r="C82" s="17" t="s">
        <v>81</v>
      </c>
      <c r="D82" s="17"/>
      <c r="E82" s="17"/>
      <c r="F82" s="17"/>
    </row>
    <row r="84" spans="1:6" x14ac:dyDescent="0.25">
      <c r="B84" s="10" t="s">
        <v>82</v>
      </c>
      <c r="C84" s="18"/>
      <c r="D84" s="18"/>
      <c r="E84" s="18"/>
      <c r="F84" s="18"/>
    </row>
    <row r="85" spans="1:6" x14ac:dyDescent="0.25">
      <c r="C85" s="18"/>
      <c r="D85" s="18"/>
      <c r="E85" s="18"/>
      <c r="F85" s="18"/>
    </row>
    <row r="86" spans="1:6" x14ac:dyDescent="0.25">
      <c r="C86" s="18"/>
      <c r="D86" s="18"/>
      <c r="E86" s="18"/>
      <c r="F86" s="18"/>
    </row>
  </sheetData>
  <mergeCells count="41">
    <mergeCell ref="C84:F86"/>
    <mergeCell ref="A72:B72"/>
    <mergeCell ref="C72:F72"/>
    <mergeCell ref="A74:B74"/>
    <mergeCell ref="A80:B80"/>
    <mergeCell ref="A81:B81"/>
    <mergeCell ref="A64:B64"/>
    <mergeCell ref="A70:B70"/>
    <mergeCell ref="A71:B71"/>
    <mergeCell ref="A82:B82"/>
    <mergeCell ref="C82:F82"/>
    <mergeCell ref="A54:B54"/>
    <mergeCell ref="A60:B60"/>
    <mergeCell ref="A61:B61"/>
    <mergeCell ref="A62:B62"/>
    <mergeCell ref="C62:F62"/>
    <mergeCell ref="A44:B44"/>
    <mergeCell ref="A50:B50"/>
    <mergeCell ref="A51:B51"/>
    <mergeCell ref="A52:B52"/>
    <mergeCell ref="C52:F52"/>
    <mergeCell ref="A35:B35"/>
    <mergeCell ref="A40:B40"/>
    <mergeCell ref="A41:B41"/>
    <mergeCell ref="A42:B42"/>
    <mergeCell ref="C42:F42"/>
    <mergeCell ref="A25:B25"/>
    <mergeCell ref="A31:B31"/>
    <mergeCell ref="A32:B32"/>
    <mergeCell ref="A33:B33"/>
    <mergeCell ref="C33:F33"/>
    <mergeCell ref="A15:B15"/>
    <mergeCell ref="A21:B21"/>
    <mergeCell ref="A22:B22"/>
    <mergeCell ref="A23:B23"/>
    <mergeCell ref="C23:F23"/>
    <mergeCell ref="A5:B5"/>
    <mergeCell ref="A11:B11"/>
    <mergeCell ref="A12:B12"/>
    <mergeCell ref="A13:B13"/>
    <mergeCell ref="C13:F13"/>
  </mergeCells>
  <conditionalFormatting sqref="C13:F13">
    <cfRule type="containsBlanks" dxfId="7" priority="1">
      <formula>LEN(TRIM(C13))=0</formula>
    </cfRule>
  </conditionalFormatting>
  <conditionalFormatting sqref="C23:F23">
    <cfRule type="containsBlanks" dxfId="6" priority="2">
      <formula>LEN(TRIM(C23))=0</formula>
    </cfRule>
  </conditionalFormatting>
  <conditionalFormatting sqref="C33:F33">
    <cfRule type="containsBlanks" dxfId="5" priority="3">
      <formula>LEN(TRIM(C33))=0</formula>
    </cfRule>
  </conditionalFormatting>
  <conditionalFormatting sqref="C42:F42">
    <cfRule type="containsBlanks" dxfId="4" priority="4">
      <formula>LEN(TRIM(C42))=0</formula>
    </cfRule>
  </conditionalFormatting>
  <conditionalFormatting sqref="C52:F52">
    <cfRule type="containsBlanks" dxfId="3" priority="5">
      <formula>LEN(TRIM(C52))=0</formula>
    </cfRule>
  </conditionalFormatting>
  <conditionalFormatting sqref="C62:F62">
    <cfRule type="containsBlanks" dxfId="2" priority="6">
      <formula>LEN(TRIM(C62))=0</formula>
    </cfRule>
  </conditionalFormatting>
  <conditionalFormatting sqref="C72:F72">
    <cfRule type="containsBlanks" dxfId="1" priority="7">
      <formula>LEN(TRIM(C72))=0</formula>
    </cfRule>
  </conditionalFormatting>
  <conditionalFormatting sqref="C82:F82">
    <cfRule type="containsBlanks" dxfId="0" priority="8">
      <formula>LEN(TRIM(C82))=0</formula>
    </cfRule>
  </conditionalFormatting>
  <pageMargins left="0.7" right="0.7" top="0.75" bottom="0.75" header="0.3" footer="0.3"/>
  <pageSetup scale="55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5"/>
  <sheetViews>
    <sheetView workbookViewId="0">
      <selection activeCell="B31" sqref="B31"/>
    </sheetView>
  </sheetViews>
  <sheetFormatPr defaultRowHeight="15" x14ac:dyDescent="0.25"/>
  <cols>
    <col min="1" max="1" width="46.140625" bestFit="1" customWidth="1"/>
  </cols>
  <sheetData>
    <row r="1" spans="1:1" x14ac:dyDescent="0.25">
      <c r="A1" s="12" t="s">
        <v>83</v>
      </c>
    </row>
    <row r="3" spans="1:1" x14ac:dyDescent="0.25">
      <c r="A3" s="12" t="s">
        <v>84</v>
      </c>
    </row>
    <row r="5" spans="1:1" x14ac:dyDescent="0.25">
      <c r="A5" s="12" t="s">
        <v>85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digestion_page</vt:lpstr>
      <vt:lpstr>200128458</vt:lpstr>
      <vt:lpstr>200128459</vt:lpstr>
      <vt:lpstr>200128460</vt:lpstr>
      <vt:lpstr>200128461</vt:lpstr>
      <vt:lpstr>formula_page</vt:lpstr>
      <vt:lpstr>'200128458'!Print_Area</vt:lpstr>
      <vt:lpstr>'200128459'!Print_Area</vt:lpstr>
      <vt:lpstr>'200128460'!Print_Area</vt:lpstr>
      <vt:lpstr>'200128461'!Print_Area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cp:lastPrinted>2026-07-17T20:29:57Z</cp:lastPrinted>
  <dcterms:created xsi:type="dcterms:W3CDTF">2026-07-13T20:39:00Z</dcterms:created>
  <dcterms:modified xsi:type="dcterms:W3CDTF">2026-07-22T14:09:59Z</dcterms:modified>
</cp:coreProperties>
</file>