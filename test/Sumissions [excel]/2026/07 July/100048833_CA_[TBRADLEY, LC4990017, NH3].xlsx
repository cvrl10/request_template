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missions [excel]/2026/07 July/"/>
    </mc:Choice>
  </mc:AlternateContent>
  <xr:revisionPtr revIDLastSave="13" documentId="11_3A8EE3C9B82B1FEEEC58A3D7551C0B53FE0E355D" xr6:coauthVersionLast="47" xr6:coauthVersionMax="47" xr10:uidLastSave="{368CC61E-AC97-49A9-83F6-9D38639D2D09}"/>
  <bookViews>
    <workbookView xWindow="-120" yWindow="-120" windowWidth="29040" windowHeight="15720" activeTab="1" xr2:uid="{00000000-000D-0000-FFFF-FFFF00000000}"/>
  </bookViews>
  <sheets>
    <sheet name="digestion_page" sheetId="1" r:id="rId1"/>
    <sheet name="200128745" sheetId="2" r:id="rId2"/>
    <sheet name="formula_page" sheetId="3" r:id="rId3"/>
  </sheets>
  <definedNames>
    <definedName name="_xlnm.Print_Area" localSheetId="1">'200128745'!$A$1:$G$16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I7" i="2" s="1"/>
  <c r="I8" i="2"/>
  <c r="H8" i="2"/>
  <c r="G8" i="2"/>
  <c r="H7" i="2"/>
  <c r="G7" i="2"/>
  <c r="D8" i="2" l="1"/>
  <c r="E8" i="2" s="1"/>
  <c r="D7" i="2"/>
  <c r="C10" i="2" l="1"/>
  <c r="E7" i="2"/>
  <c r="C11" i="2" s="1"/>
</calcChain>
</file>

<file path=xl/sharedStrings.xml><?xml version="1.0" encoding="utf-8"?>
<sst xmlns="http://schemas.openxmlformats.org/spreadsheetml/2006/main" count="33" uniqueCount="27">
  <si>
    <t>Date:</t>
  </si>
  <si>
    <t>Request ID:</t>
  </si>
  <si>
    <t xml:space="preserve">100048833 </t>
  </si>
  <si>
    <t>Hotplate</t>
  </si>
  <si>
    <t>Analyte(s)</t>
  </si>
  <si>
    <t>NH3</t>
  </si>
  <si>
    <t>SOP#</t>
  </si>
  <si>
    <t>Cocktail</t>
  </si>
  <si>
    <t>sample(s)</t>
  </si>
  <si>
    <t>weight (g)</t>
  </si>
  <si>
    <t>volume (mL)</t>
  </si>
  <si>
    <t>200128745_1</t>
  </si>
  <si>
    <t>200128745_2</t>
  </si>
  <si>
    <t>NH3 ISE analysis</t>
  </si>
  <si>
    <t>sample</t>
  </si>
  <si>
    <t>Dilution</t>
  </si>
  <si>
    <t>conc. [mg/L]</t>
  </si>
  <si>
    <t>NH3_ppm</t>
  </si>
  <si>
    <t>%NH3</t>
  </si>
  <si>
    <t>nh3 result:</t>
  </si>
  <si>
    <t>nh3 lot:</t>
  </si>
  <si>
    <t>Manufacturer: fisherbrand, DX1 exp: 2027-03-31</t>
  </si>
  <si>
    <t>Note(s):</t>
  </si>
  <si>
    <t>ppm M+ = [conc.][volume][dilution]/[weight]</t>
  </si>
  <si>
    <t>%M+ = [conc.][volume][dilution]/([weight]*10,000)</t>
  </si>
  <si>
    <t>%MO = [oxide factor]*%M+</t>
  </si>
  <si>
    <t>100 mL 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</si>
</sst>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00"/>
    <numFmt numFmtId="167" formatCode="0.00&quot; ppm&quot;"/>
    <numFmt numFmtId="168" formatCode="0.00&quot; %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7" fontId="0" fillId="0" borderId="0" xfId="0" applyNumberFormat="1" applyAlignment="1">
      <alignment horizontal="left"/>
    </xf>
    <xf numFmtId="0" fontId="4" fillId="0" borderId="0" xfId="0" applyFont="1"/>
    <xf numFmtId="168" fontId="0" fillId="2" borderId="0" xfId="0" applyNumberFormat="1" applyFill="1" applyAlignment="1">
      <alignment horizontal="left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17" sqref="C17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2.140625" bestFit="1" customWidth="1"/>
  </cols>
  <sheetData>
    <row r="1" spans="1:3" x14ac:dyDescent="0.25">
      <c r="A1" s="1" t="s">
        <v>0</v>
      </c>
      <c r="B1" s="2">
        <v>46233</v>
      </c>
    </row>
    <row r="2" spans="1:3" x14ac:dyDescent="0.25">
      <c r="A2" s="1" t="s">
        <v>1</v>
      </c>
      <c r="B2" s="3" t="s">
        <v>2</v>
      </c>
    </row>
    <row r="5" spans="1:3" x14ac:dyDescent="0.25">
      <c r="A5" s="19" t="s">
        <v>3</v>
      </c>
      <c r="B5" s="19"/>
      <c r="C5" s="19"/>
    </row>
    <row r="6" spans="1:3" x14ac:dyDescent="0.25">
      <c r="A6" s="4" t="s">
        <v>4</v>
      </c>
      <c r="B6" s="20" t="s">
        <v>5</v>
      </c>
      <c r="C6" s="20"/>
    </row>
    <row r="7" spans="1:3" x14ac:dyDescent="0.25">
      <c r="A7" s="4" t="s">
        <v>6</v>
      </c>
      <c r="B7" s="20"/>
      <c r="C7" s="20"/>
    </row>
    <row r="8" spans="1:3" x14ac:dyDescent="0.25">
      <c r="A8" s="4" t="s">
        <v>7</v>
      </c>
      <c r="B8" s="20" t="s">
        <v>26</v>
      </c>
      <c r="C8" s="20"/>
    </row>
    <row r="9" spans="1:3" x14ac:dyDescent="0.25">
      <c r="A9" s="4" t="s">
        <v>8</v>
      </c>
      <c r="B9" s="4" t="s">
        <v>9</v>
      </c>
      <c r="C9" s="4" t="s">
        <v>10</v>
      </c>
    </row>
    <row r="10" spans="1:3" x14ac:dyDescent="0.25">
      <c r="A10" s="4" t="s">
        <v>11</v>
      </c>
      <c r="B10" s="6">
        <v>0.17910000000000001</v>
      </c>
      <c r="C10" s="5">
        <v>100</v>
      </c>
    </row>
    <row r="11" spans="1:3" x14ac:dyDescent="0.25">
      <c r="A11" s="4" t="s">
        <v>12</v>
      </c>
      <c r="B11" s="6">
        <v>0.22720000000000001</v>
      </c>
      <c r="C11" s="5">
        <v>100</v>
      </c>
    </row>
  </sheetData>
  <mergeCells count="4">
    <mergeCell ref="A5:C5"/>
    <mergeCell ref="B6:C6"/>
    <mergeCell ref="B7:C7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view="pageBreakPreview" zoomScale="60" zoomScaleNormal="100" workbookViewId="0">
      <selection activeCell="E19" sqref="E19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12.7109375" customWidth="1"/>
    <col min="4" max="4" width="9.7109375" bestFit="1" customWidth="1"/>
    <col min="5" max="5" width="7.7109375" customWidth="1"/>
    <col min="6" max="6" width="12.7109375" customWidth="1"/>
  </cols>
  <sheetData>
    <row r="1" spans="1:9" x14ac:dyDescent="0.25">
      <c r="A1" s="1" t="s">
        <v>0</v>
      </c>
      <c r="B1" s="2">
        <v>46233</v>
      </c>
    </row>
    <row r="2" spans="1:9" x14ac:dyDescent="0.25">
      <c r="A2" s="1" t="s">
        <v>1</v>
      </c>
      <c r="B2" s="3" t="s">
        <v>2</v>
      </c>
    </row>
    <row r="5" spans="1:9" x14ac:dyDescent="0.25">
      <c r="A5" s="15" t="s">
        <v>13</v>
      </c>
      <c r="B5" s="15"/>
    </row>
    <row r="6" spans="1:9" x14ac:dyDescent="0.25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</row>
    <row r="7" spans="1:9" x14ac:dyDescent="0.25">
      <c r="A7" s="4" t="s">
        <v>11</v>
      </c>
      <c r="B7" s="5" t="str">
        <f>"100/100"</f>
        <v>100/100</v>
      </c>
      <c r="C7" s="7">
        <v>23.4</v>
      </c>
      <c r="D7" s="8">
        <f>((C7)*(H7)*(I7))/(G7*1)</f>
        <v>13065.326633165829</v>
      </c>
      <c r="E7" s="8">
        <f>D7/10000</f>
        <v>1.3065326633165828</v>
      </c>
      <c r="G7" s="9">
        <f>digestion_page!B10</f>
        <v>0.17910000000000001</v>
      </c>
      <c r="H7" s="9">
        <f>digestion_page!C10</f>
        <v>100</v>
      </c>
      <c r="I7" s="9">
        <f>(LEFT(B7,FIND("/",B7)-1)/RIGHT(B7,LEN(B7)-FIND("/", B7)))</f>
        <v>1</v>
      </c>
    </row>
    <row r="8" spans="1:9" x14ac:dyDescent="0.25">
      <c r="A8" s="4" t="s">
        <v>12</v>
      </c>
      <c r="B8" s="5" t="str">
        <f>"100/100"</f>
        <v>100/100</v>
      </c>
      <c r="C8" s="7">
        <v>25.9</v>
      </c>
      <c r="D8" s="8">
        <f>((C8)*(H8)*(I8))/(G8*1)</f>
        <v>11399.647887323943</v>
      </c>
      <c r="E8" s="8">
        <f>D8/10000</f>
        <v>1.1399647887323943</v>
      </c>
      <c r="G8" s="9">
        <f>digestion_page!B11</f>
        <v>0.22720000000000001</v>
      </c>
      <c r="H8" s="9">
        <f>digestion_page!C11</f>
        <v>100</v>
      </c>
      <c r="I8" s="9">
        <f>(LEFT(B8,FIND("/",B8)-1)/RIGHT(B8,LEN(B8)-FIND("/", B8)))</f>
        <v>1</v>
      </c>
    </row>
    <row r="10" spans="1:9" x14ac:dyDescent="0.25">
      <c r="A10" s="16" t="s">
        <v>19</v>
      </c>
      <c r="B10" s="16"/>
      <c r="C10" s="11">
        <f>AVERAGE(D7:D8)</f>
        <v>12232.487260244885</v>
      </c>
    </row>
    <row r="11" spans="1:9" x14ac:dyDescent="0.25">
      <c r="A11" s="17" t="s">
        <v>19</v>
      </c>
      <c r="B11" s="17"/>
      <c r="C11" s="13">
        <f>AVERAGE(E7:E8)</f>
        <v>1.2232487260244884</v>
      </c>
    </row>
    <row r="12" spans="1:9" x14ac:dyDescent="0.25">
      <c r="A12" s="16" t="s">
        <v>20</v>
      </c>
      <c r="B12" s="16"/>
      <c r="C12" s="18" t="s">
        <v>21</v>
      </c>
      <c r="D12" s="18"/>
      <c r="E12" s="18"/>
      <c r="F12" s="18"/>
    </row>
    <row r="14" spans="1:9" x14ac:dyDescent="0.25">
      <c r="B14" s="10" t="s">
        <v>22</v>
      </c>
      <c r="C14" s="14"/>
      <c r="D14" s="14"/>
      <c r="E14" s="14"/>
      <c r="F14" s="14"/>
    </row>
    <row r="15" spans="1:9" x14ac:dyDescent="0.25">
      <c r="C15" s="14"/>
      <c r="D15" s="14"/>
      <c r="E15" s="14"/>
      <c r="F15" s="14"/>
    </row>
    <row r="16" spans="1:9" x14ac:dyDescent="0.25">
      <c r="C16" s="14"/>
      <c r="D16" s="14"/>
      <c r="E16" s="14"/>
      <c r="F16" s="14"/>
    </row>
  </sheetData>
  <mergeCells count="6">
    <mergeCell ref="C14:F16"/>
    <mergeCell ref="A5:B5"/>
    <mergeCell ref="A10:B10"/>
    <mergeCell ref="A11:B11"/>
    <mergeCell ref="A12:B12"/>
    <mergeCell ref="C12:F12"/>
  </mergeCells>
  <conditionalFormatting sqref="C12:F12">
    <cfRule type="containsBlanks" dxfId="0" priority="1">
      <formula>LEN(TRIM(C12))=0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 x14ac:dyDescent="0.25"/>
  <cols>
    <col min="1" max="1" width="46.140625" bestFit="1" customWidth="1"/>
  </cols>
  <sheetData>
    <row r="1" spans="1:1" x14ac:dyDescent="0.25">
      <c r="A1" s="12" t="s">
        <v>23</v>
      </c>
    </row>
    <row r="3" spans="1:1" x14ac:dyDescent="0.25">
      <c r="A3" s="12" t="s">
        <v>24</v>
      </c>
    </row>
    <row r="5" spans="1:1" x14ac:dyDescent="0.25">
      <c r="A5" s="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digestion_page</vt:lpstr>
      <vt:lpstr>200128745</vt:lpstr>
      <vt:lpstr>formula_page</vt:lpstr>
      <vt:lpstr>'200128745'!Print_Area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2026-07-30T20:35:15Z</dcterms:created>
  <dcterms:modified xsi:type="dcterms:W3CDTF">2026-07-30T20:38:03Z</dcterms:modified>
</cp:coreProperties>
</file>