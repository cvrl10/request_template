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lariant-my.sharepoint.com/personal/carl_archemetre_clariant_com/Documents/Submissions/"/>
    </mc:Choice>
  </mc:AlternateContent>
  <xr:revisionPtr revIDLastSave="3" documentId="8_{17BE7CB7-6DFA-4269-8738-A37B529FC308}" xr6:coauthVersionLast="47" xr6:coauthVersionMax="47" xr10:uidLastSave="{28E03251-CE76-424E-8007-6B0F6A68B8E8}"/>
  <bookViews>
    <workbookView xWindow="-120" yWindow="-120" windowWidth="29040" windowHeight="15720" xr2:uid="{54A9AB2B-D91E-4318-8A9F-49DDFB101279}"/>
  </bookViews>
  <sheets>
    <sheet name="pp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D14" i="1" s="1"/>
  <c r="D16" i="1" s="1"/>
  <c r="E13" i="1"/>
  <c r="C13" i="1"/>
  <c r="B4" i="1"/>
  <c r="B3" i="1"/>
  <c r="B2" i="1"/>
  <c r="B1" i="1"/>
  <c r="D15" i="1"/>
  <c r="E5" i="1"/>
  <c r="F5" i="1" s="1"/>
  <c r="D13" i="1" l="1"/>
  <c r="E15" i="1"/>
  <c r="E14" i="1"/>
  <c r="E16" i="1" l="1"/>
</calcChain>
</file>

<file path=xl/sharedStrings.xml><?xml version="1.0" encoding="utf-8"?>
<sst xmlns="http://schemas.openxmlformats.org/spreadsheetml/2006/main" count="27" uniqueCount="24">
  <si>
    <t>Submission ID:</t>
  </si>
  <si>
    <t>Analysis:</t>
  </si>
  <si>
    <t>sample</t>
  </si>
  <si>
    <t>prep</t>
  </si>
  <si>
    <t>weight (g)</t>
  </si>
  <si>
    <t>volume (mL)</t>
  </si>
  <si>
    <t>dilution</t>
  </si>
  <si>
    <t>Project #:</t>
  </si>
  <si>
    <t>Time (min)</t>
  </si>
  <si>
    <t>Power (W)</t>
  </si>
  <si>
    <t>P (bar)</t>
  </si>
  <si>
    <t>vial</t>
  </si>
  <si>
    <t>stir</t>
  </si>
  <si>
    <t>Date:</t>
  </si>
  <si>
    <t>{Katanax: Ramping, filter}</t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</si>
  <si>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1</t>
    </r>
    <r>
      <rPr>
        <b/>
        <sz val="11"/>
        <color theme="0"/>
        <rFont val="Aptos Narrow"/>
        <family val="2"/>
        <scheme val="minor"/>
      </rPr>
      <t xml:space="preserve"> (</t>
    </r>
    <r>
      <rPr>
        <b/>
        <sz val="11"/>
        <color theme="0"/>
        <rFont val="Aptos Narrow"/>
        <family val="2"/>
      </rPr>
      <t>°C</t>
    </r>
    <r>
      <rPr>
        <b/>
        <sz val="11"/>
        <color theme="0"/>
        <rFont val="Aptos Narrow"/>
        <family val="2"/>
        <scheme val="minor"/>
      </rPr>
      <t>)</t>
    </r>
  </si>
  <si>
    <r>
      <t>T</t>
    </r>
    <r>
      <rPr>
        <b/>
        <vertAlign val="subscript"/>
        <sz val="11"/>
        <color theme="0"/>
        <rFont val="Aptos Narrow"/>
        <family val="2"/>
        <scheme val="minor"/>
      </rPr>
      <t>2</t>
    </r>
    <r>
      <rPr>
        <b/>
        <sz val="11"/>
        <color theme="0"/>
        <rFont val="Aptos Narrow"/>
        <family val="2"/>
        <scheme val="minor"/>
      </rPr>
      <t xml:space="preserve"> (</t>
    </r>
    <r>
      <rPr>
        <b/>
        <sz val="11"/>
        <color theme="0"/>
        <rFont val="Aptos Narrow"/>
        <family val="2"/>
      </rPr>
      <t>°C</t>
    </r>
    <r>
      <rPr>
        <b/>
        <sz val="11"/>
        <color theme="0"/>
        <rFont val="Aptos Narrow"/>
        <family val="2"/>
        <scheme val="minor"/>
      </rPr>
      <t>)</t>
    </r>
  </si>
  <si>
    <t>Notes/Comments:</t>
  </si>
  <si>
    <t>below</t>
  </si>
  <si>
    <t>LF448PS-23-2855</t>
  </si>
  <si>
    <t>Agilent ICP Pt</t>
  </si>
  <si>
    <t>Pt</t>
  </si>
  <si>
    <t>2-126970_1</t>
  </si>
  <si>
    <t>2-126970_2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</si>
</sst>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/d/yy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vertAlign val="subscript"/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1" fillId="0" borderId="1" xfId="0" applyFont="1" applyBorder="1"/>
    <xf numFmtId="0" fontId="6" fillId="0" borderId="0" xfId="0" applyFont="1"/>
    <xf numFmtId="0" fontId="7" fillId="0" borderId="0" xfId="0" applyFont="1"/>
    <xf numFmtId="9" fontId="7" fillId="0" borderId="0" xfId="0" applyNumberFormat="1" applyFont="1"/>
    <xf numFmtId="0" fontId="0" fillId="2" borderId="1" xfId="0" applyFill="1" applyBorder="1"/>
    <xf numFmtId="165" fontId="0" fillId="0" borderId="0" xfId="0" applyNumberFormat="1"/>
    <xf numFmtId="0" fontId="10" fillId="2" borderId="0" xfId="0" applyFont="1" applyFill="1"/>
    <xf numFmtId="0" fontId="0" fillId="2" borderId="0" xfId="0" applyFill="1"/>
    <xf numFmtId="13" fontId="0" fillId="2" borderId="0" xfId="0" applyNumberFormat="1" applyFill="1"/>
    <xf numFmtId="0" fontId="7" fillId="0" borderId="0" xfId="0" applyFont="1" applyBorder="1"/>
    <xf numFmtId="2" fontId="7" fillId="0" borderId="0" xfId="0" applyNumberFormat="1" applyFont="1" applyBorder="1"/>
    <xf numFmtId="164" fontId="7" fillId="0" borderId="0" xfId="0" applyNumberFormat="1" applyFont="1" applyBorder="1"/>
    <xf numFmtId="0" fontId="1" fillId="0" borderId="2" xfId="0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20</xdr:row>
      <xdr:rowOff>38100</xdr:rowOff>
    </xdr:from>
    <xdr:to>
      <xdr:col>2</xdr:col>
      <xdr:colOff>742950</xdr:colOff>
      <xdr:row>22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A9AB71-F5D5-FBA9-868C-91FE51BB5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648200"/>
          <a:ext cx="23526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DD05-37BA-4966-A263-616DE3FED767}">
  <sheetPr codeName="Sheet2"/>
  <dimension ref="A1:O26"/>
  <sheetViews>
    <sheetView tabSelected="1" workbookViewId="0">
      <selection activeCell="D23" sqref="D23"/>
    </sheetView>
  </sheetViews>
  <sheetFormatPr defaultRowHeight="15" x14ac:dyDescent="0.25"/>
  <cols>
    <col min="1" max="1" width="14.42578125" bestFit="1" customWidth="1"/>
    <col min="2" max="2" width="11.140625" bestFit="1" customWidth="1"/>
    <col min="3" max="3" width="19" bestFit="1" customWidth="1"/>
    <col min="4" max="4" width="20.85546875" bestFit="1" customWidth="1"/>
    <col min="5" max="5" width="16" bestFit="1" customWidth="1"/>
    <col min="6" max="6" width="10.5703125" bestFit="1" customWidth="1"/>
    <col min="10" max="10" width="14" bestFit="1" customWidth="1"/>
    <col min="11" max="11" width="10" bestFit="1" customWidth="1"/>
    <col min="15" max="15" width="9.28515625" bestFit="1" customWidth="1"/>
  </cols>
  <sheetData>
    <row r="1" spans="1:15" x14ac:dyDescent="0.25">
      <c r="A1" t="s">
        <v>13</v>
      </c>
      <c r="B1" s="12">
        <f>J2</f>
        <v>46107</v>
      </c>
      <c r="J1" s="13" t="s">
        <v>18</v>
      </c>
      <c r="K1" s="13"/>
      <c r="L1" s="13"/>
      <c r="M1" s="13"/>
      <c r="N1" s="13"/>
      <c r="O1" s="13"/>
    </row>
    <row r="2" spans="1:15" x14ac:dyDescent="0.25">
      <c r="A2" t="s">
        <v>0</v>
      </c>
      <c r="B2" s="5">
        <f>K2</f>
        <v>100048181</v>
      </c>
      <c r="J2" s="13">
        <v>46107</v>
      </c>
      <c r="K2" s="13">
        <v>100048181</v>
      </c>
      <c r="L2" s="13" t="s">
        <v>19</v>
      </c>
      <c r="M2" s="13" t="s">
        <v>20</v>
      </c>
      <c r="N2" s="13" t="s">
        <v>21</v>
      </c>
      <c r="O2" s="13" t="b">
        <v>0</v>
      </c>
    </row>
    <row r="3" spans="1:15" x14ac:dyDescent="0.25">
      <c r="A3" t="s">
        <v>7</v>
      </c>
      <c r="B3" s="1" t="str">
        <f>L2</f>
        <v>LF448PS-23-2855</v>
      </c>
    </row>
    <row r="4" spans="1:15" x14ac:dyDescent="0.25">
      <c r="A4" t="s">
        <v>1</v>
      </c>
      <c r="B4" t="str">
        <f>M2</f>
        <v>Agilent ICP Pt</v>
      </c>
    </row>
    <row r="5" spans="1:15" x14ac:dyDescent="0.25">
      <c r="A5" s="16"/>
      <c r="B5" s="16">
        <v>20</v>
      </c>
      <c r="C5" s="16">
        <v>22</v>
      </c>
      <c r="D5" s="16">
        <v>22</v>
      </c>
      <c r="E5" s="17">
        <f>(((C5-B5)-(D5-B5))/(C5-B5))*100</f>
        <v>0</v>
      </c>
      <c r="F5" s="18">
        <f>1-(E5/100)</f>
        <v>1</v>
      </c>
    </row>
    <row r="6" spans="1:15" x14ac:dyDescent="0.25">
      <c r="A6" s="1"/>
    </row>
    <row r="7" spans="1:15" x14ac:dyDescent="0.25">
      <c r="A7" s="1" t="s">
        <v>3</v>
      </c>
      <c r="B7" t="s">
        <v>14</v>
      </c>
    </row>
    <row r="8" spans="1:15" ht="18" x14ac:dyDescent="0.35">
      <c r="A8" s="7" t="s">
        <v>2</v>
      </c>
      <c r="B8" s="7" t="s">
        <v>4</v>
      </c>
      <c r="C8" s="7" t="s">
        <v>5</v>
      </c>
      <c r="D8" s="8" t="s">
        <v>8</v>
      </c>
      <c r="E8" s="8" t="s">
        <v>9</v>
      </c>
      <c r="F8" s="8" t="s">
        <v>15</v>
      </c>
      <c r="G8" s="8" t="s">
        <v>16</v>
      </c>
      <c r="H8" s="8" t="s">
        <v>10</v>
      </c>
      <c r="I8" s="8" t="s">
        <v>11</v>
      </c>
      <c r="J8" s="8" t="s">
        <v>12</v>
      </c>
    </row>
    <row r="9" spans="1:15" x14ac:dyDescent="0.25">
      <c r="A9" s="11" t="s">
        <v>22</v>
      </c>
      <c r="B9" s="11">
        <v>13.554399999999999</v>
      </c>
      <c r="C9" s="11">
        <v>50</v>
      </c>
      <c r="D9" s="9"/>
      <c r="E9" s="9"/>
      <c r="F9" s="9"/>
      <c r="G9" s="9"/>
      <c r="H9" s="9"/>
      <c r="I9" s="9"/>
      <c r="J9" s="10"/>
    </row>
    <row r="10" spans="1:15" x14ac:dyDescent="0.25">
      <c r="A10" s="11" t="s">
        <v>23</v>
      </c>
      <c r="B10" s="11">
        <v>12.9559</v>
      </c>
      <c r="C10" s="11">
        <v>50</v>
      </c>
      <c r="D10" s="9"/>
      <c r="E10" s="9"/>
      <c r="F10" s="9"/>
      <c r="G10" s="9"/>
      <c r="H10" s="9"/>
      <c r="I10" s="9"/>
      <c r="J10" s="9"/>
    </row>
    <row r="11" spans="1:15" x14ac:dyDescent="0.25">
      <c r="D11" s="9"/>
      <c r="E11" s="9"/>
      <c r="F11" s="9"/>
      <c r="G11" s="9"/>
      <c r="H11" s="9"/>
      <c r="I11" s="9"/>
      <c r="J11" s="9"/>
    </row>
    <row r="12" spans="1:15" x14ac:dyDescent="0.25">
      <c r="A12" s="1"/>
    </row>
    <row r="13" spans="1:15" x14ac:dyDescent="0.25">
      <c r="A13" s="7" t="s">
        <v>2</v>
      </c>
      <c r="B13" s="7" t="s">
        <v>6</v>
      </c>
      <c r="C13" s="7" t="str">
        <f>N2&amp;" "&amp;"[mg/L]"</f>
        <v>Pt [mg/L]</v>
      </c>
      <c r="D13" s="19" t="str">
        <f>N2&amp;" "&amp;"[ppm]"</f>
        <v>Pt [ppm]</v>
      </c>
      <c r="E13" s="20" t="str">
        <f>N2&amp;" "&amp;"[ppm][dried]"</f>
        <v>Pt [ppm][dried]</v>
      </c>
      <c r="F13" s="1"/>
    </row>
    <row r="14" spans="1:15" x14ac:dyDescent="0.25">
      <c r="A14" s="11" t="s">
        <v>22</v>
      </c>
      <c r="B14" s="15" t="str">
        <f>"5000/2"</f>
        <v>5000/2</v>
      </c>
      <c r="C14" s="14">
        <v>2.028</v>
      </c>
      <c r="D14" s="2">
        <f>((C14*C9)*(LEFT(B14,FIND("/",B14)-1)/RIGHT(B14,LEN(B14)-FIND("/",B14)))/B9)</f>
        <v>18702.413976273387</v>
      </c>
      <c r="E14" s="17">
        <f>D14/$F$5</f>
        <v>18702.413976273387</v>
      </c>
    </row>
    <row r="15" spans="1:15" x14ac:dyDescent="0.25">
      <c r="A15" s="11" t="s">
        <v>23</v>
      </c>
      <c r="B15" s="15" t="str">
        <f>"5000/2"</f>
        <v>5000/2</v>
      </c>
      <c r="C15" s="14">
        <v>1.931</v>
      </c>
      <c r="D15" s="2">
        <f t="shared" ref="D15" si="0">((C15*C10)*(LEFT(B15,FIND("/",B15)-1)/RIGHT(B15,LEN(B15)-FIND("/",B15)))/B10)</f>
        <v>18630.508108274993</v>
      </c>
      <c r="E15" s="17">
        <f t="shared" ref="E15" si="1">D15/$F$5</f>
        <v>18630.508108274993</v>
      </c>
    </row>
    <row r="16" spans="1:15" x14ac:dyDescent="0.25">
      <c r="D16" s="2">
        <f>AVERAGE(D14:D15)</f>
        <v>18666.46104227419</v>
      </c>
      <c r="E16" s="17">
        <f>AVERAGE(E14:E15)</f>
        <v>18666.46104227419</v>
      </c>
      <c r="F16" s="1"/>
    </row>
    <row r="18" spans="1:1" x14ac:dyDescent="0.25">
      <c r="A18" s="6"/>
    </row>
    <row r="19" spans="1:1" x14ac:dyDescent="0.25">
      <c r="A19" s="4"/>
    </row>
    <row r="26" spans="1:1" x14ac:dyDescent="0.25">
      <c r="A26" s="3" t="s">
        <v>17</v>
      </c>
    </row>
  </sheetData>
  <phoneticPr fontId="4" type="noConversion"/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2026-03-12T19:50:23Z</dcterms:created>
  <dcterms:modified xsi:type="dcterms:W3CDTF">2026-03-26T12:23:02Z</dcterms:modified>
</cp:coreProperties>
</file>