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bmissions/"/>
    </mc:Choice>
  </mc:AlternateContent>
  <xr:revisionPtr revIDLastSave="124" documentId="14_{855E01C0-26E7-46E4-B48F-ABD37CC55B3D}" xr6:coauthVersionLast="47" xr6:coauthVersionMax="47" xr10:uidLastSave="{3BAB1B56-5415-4FAA-838B-23A41608057E}"/>
  <bookViews>
    <workbookView xWindow="-110" yWindow="-110" windowWidth="19420" windowHeight="11500" xr2:uid="{54A9AB2B-D91E-4318-8A9F-49DDFB101279}"/>
  </bookViews>
  <sheets>
    <sheet name="Form" sheetId="4" r:id="rId1"/>
    <sheet name="ppm" sheetId="1" r:id="rId2"/>
    <sheet name="%M" sheetId="2" r:id="rId3"/>
    <sheet name="%MO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7" i="1"/>
  <c r="A13" i="1"/>
  <c r="A12" i="1"/>
  <c r="A8" i="1"/>
  <c r="B4" i="1"/>
  <c r="B3" i="1"/>
  <c r="E16" i="1"/>
  <c r="D16" i="1"/>
  <c r="C16" i="1"/>
  <c r="C25" i="4"/>
  <c r="B2" i="1"/>
  <c r="B1" i="1"/>
  <c r="C23" i="4"/>
  <c r="B18" i="1"/>
  <c r="D18" i="1" s="1"/>
  <c r="B17" i="1"/>
  <c r="D17" i="1" s="1"/>
  <c r="C28" i="4"/>
  <c r="C27" i="4"/>
  <c r="C26" i="4"/>
  <c r="C24" i="4"/>
  <c r="B17" i="3"/>
  <c r="D17" i="3" s="1"/>
  <c r="B17" i="2"/>
  <c r="B18" i="2"/>
  <c r="D18" i="2" s="1"/>
  <c r="B19" i="2"/>
  <c r="D19" i="2" s="1"/>
  <c r="B18" i="3"/>
  <c r="B19" i="3"/>
  <c r="D18" i="3"/>
  <c r="D19" i="3"/>
  <c r="D17" i="2"/>
  <c r="E8" i="3"/>
  <c r="F8" i="3" s="1"/>
  <c r="E8" i="2"/>
  <c r="F8" i="2" s="1"/>
  <c r="E8" i="1"/>
  <c r="F8" i="1" s="1"/>
  <c r="D20" i="2" l="1"/>
  <c r="E18" i="1"/>
  <c r="D19" i="1"/>
  <c r="F18" i="3"/>
  <c r="E17" i="1"/>
  <c r="E19" i="1" s="1"/>
  <c r="F17" i="3"/>
  <c r="F20" i="3" s="1"/>
  <c r="F19" i="3"/>
  <c r="E17" i="2"/>
  <c r="E19" i="2"/>
  <c r="E18" i="2"/>
  <c r="E20" i="2" l="1"/>
</calcChain>
</file>

<file path=xl/sharedStrings.xml><?xml version="1.0" encoding="utf-8"?>
<sst xmlns="http://schemas.openxmlformats.org/spreadsheetml/2006/main" count="139" uniqueCount="71">
  <si>
    <t>Submission ID:</t>
  </si>
  <si>
    <t>Analysis:</t>
  </si>
  <si>
    <t>LOI</t>
  </si>
  <si>
    <t>sample</t>
  </si>
  <si>
    <t>LOI (%)</t>
  </si>
  <si>
    <t>correction</t>
  </si>
  <si>
    <t>prep</t>
  </si>
  <si>
    <t>weight (g)</t>
  </si>
  <si>
    <t>volume (mL)</t>
  </si>
  <si>
    <t>dilution</t>
  </si>
  <si>
    <t>2-127169</t>
  </si>
  <si>
    <t>crucible (g)</t>
  </si>
  <si>
    <t>crucible+sample (g)</t>
  </si>
  <si>
    <t>LF448PS-23-2855</t>
  </si>
  <si>
    <t>Project #:</t>
  </si>
  <si>
    <t>2-127169_1</t>
  </si>
  <si>
    <t>2-127169_2</t>
  </si>
  <si>
    <t>2-127169_3</t>
  </si>
  <si>
    <t>Time (min)</t>
  </si>
  <si>
    <t>Power (W)</t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</si>
  <si>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</rPr>
      <t>°C</t>
    </r>
    <r>
      <rPr>
        <b/>
        <sz val="11"/>
        <color theme="1"/>
        <rFont val="Aptos Narrow"/>
        <family val="2"/>
        <scheme val="minor"/>
      </rPr>
      <t>)</t>
    </r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</si>
  <si>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</rPr>
      <t>°C</t>
    </r>
    <r>
      <rPr>
        <b/>
        <sz val="11"/>
        <color theme="1"/>
        <rFont val="Aptos Narrow"/>
        <family val="2"/>
        <scheme val="minor"/>
      </rPr>
      <t>)</t>
    </r>
  </si>
  <si>
    <t>P (bar)</t>
  </si>
  <si>
    <t>vial</t>
  </si>
  <si>
    <t>stir</t>
  </si>
  <si>
    <t>Manufacturer: Assurance, Pt lot: 28-2PTY exp: 2026-03-30</t>
  </si>
  <si>
    <t>oxide factor</t>
  </si>
  <si>
    <r>
      <t>[</t>
    </r>
    <r>
      <rPr>
        <b/>
        <i/>
        <sz val="11"/>
        <color theme="1"/>
        <rFont val="Aptos Narrow"/>
        <family val="2"/>
        <scheme val="minor"/>
      </rPr>
      <t>%Co</t>
    </r>
    <r>
      <rPr>
        <b/>
        <sz val="11"/>
        <color theme="1"/>
        <rFont val="Aptos Narrow"/>
        <family val="2"/>
        <scheme val="minor"/>
      </rPr>
      <t>]</t>
    </r>
  </si>
  <si>
    <r>
      <rPr>
        <b/>
        <i/>
        <sz val="11"/>
        <color theme="1"/>
        <rFont val="Aptos Narrow"/>
        <family val="2"/>
        <scheme val="minor"/>
      </rPr>
      <t>Co</t>
    </r>
    <r>
      <rPr>
        <b/>
        <sz val="11"/>
        <color theme="1"/>
        <rFont val="Aptos Narrow"/>
        <family val="2"/>
        <scheme val="minor"/>
      </rPr>
      <t xml:space="preserve"> [mg/L]</t>
    </r>
  </si>
  <si>
    <r>
      <t>[</t>
    </r>
    <r>
      <rPr>
        <b/>
        <i/>
        <sz val="11"/>
        <color theme="1"/>
        <rFont val="Aptos Narrow"/>
        <family val="2"/>
        <scheme val="minor"/>
      </rPr>
      <t>%Co3O4</t>
    </r>
    <r>
      <rPr>
        <b/>
        <sz val="11"/>
        <color theme="1"/>
        <rFont val="Aptos Narrow"/>
        <family val="2"/>
        <scheme val="minor"/>
      </rPr>
      <t>][dried]</t>
    </r>
  </si>
  <si>
    <t>Agilent ICP %Co3O4</t>
  </si>
  <si>
    <t>sample after drying (g)</t>
  </si>
  <si>
    <t>A = crucible</t>
  </si>
  <si>
    <t>B = crucible + sample</t>
  </si>
  <si>
    <t>C = crucible + sample after drying</t>
  </si>
  <si>
    <t>{r}</t>
  </si>
  <si>
    <t>Date:</t>
  </si>
  <si>
    <t>2-127232_1</t>
  </si>
  <si>
    <t>2-127232_2</t>
  </si>
  <si>
    <t>2-127232_3</t>
  </si>
  <si>
    <t>{Katanax: Ramping, filter}</t>
  </si>
  <si>
    <t>Agilent ICP Cu ppm</t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</si>
  <si>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1</t>
    </r>
    <r>
      <rPr>
        <b/>
        <sz val="11"/>
        <color theme="0"/>
        <rFont val="Aptos Narrow"/>
        <family val="2"/>
        <scheme val="minor"/>
      </rPr>
      <t xml:space="preserve"> (</t>
    </r>
    <r>
      <rPr>
        <b/>
        <sz val="11"/>
        <color theme="0"/>
        <rFont val="Aptos Narrow"/>
        <family val="2"/>
      </rPr>
      <t>°C</t>
    </r>
    <r>
      <rPr>
        <b/>
        <sz val="11"/>
        <color theme="0"/>
        <rFont val="Aptos Narrow"/>
        <family val="2"/>
        <scheme val="minor"/>
      </rPr>
      <t>)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</si>
  <si>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2</t>
    </r>
    <r>
      <rPr>
        <b/>
        <sz val="11"/>
        <color theme="0"/>
        <rFont val="Aptos Narrow"/>
        <family val="2"/>
        <scheme val="minor"/>
      </rPr>
      <t xml:space="preserve"> (</t>
    </r>
    <r>
      <rPr>
        <b/>
        <sz val="11"/>
        <color theme="0"/>
        <rFont val="Aptos Narrow"/>
        <family val="2"/>
      </rPr>
      <t>°C</t>
    </r>
    <r>
      <rPr>
        <b/>
        <sz val="11"/>
        <color theme="0"/>
        <rFont val="Aptos Narrow"/>
        <family val="2"/>
        <scheme val="minor"/>
      </rPr>
      <t>)</t>
    </r>
  </si>
  <si>
    <t>Manufacturer: Assurance, Cu lot: 28-83CUT exp: 2026-09-30</t>
  </si>
  <si>
    <t>Manufacturer: Assurance, Y lot: 28-89YX exp: 2026-10-30</t>
  </si>
  <si>
    <t>Analytical</t>
  </si>
  <si>
    <t>Agilent ICP %Cu</t>
  </si>
  <si>
    <t>Notes/Comments: This is a test for the usability of  the excel sheet</t>
  </si>
  <si>
    <r>
      <rPr>
        <b/>
        <i/>
        <sz val="11"/>
        <color theme="1"/>
        <rFont val="Aptos Narrow"/>
        <family val="2"/>
        <scheme val="minor"/>
      </rPr>
      <t>Cu</t>
    </r>
    <r>
      <rPr>
        <b/>
        <sz val="11"/>
        <color theme="1"/>
        <rFont val="Aptos Narrow"/>
        <family val="2"/>
        <scheme val="minor"/>
      </rPr>
      <t xml:space="preserve"> [mg/L]</t>
    </r>
  </si>
  <si>
    <r>
      <t>[</t>
    </r>
    <r>
      <rPr>
        <b/>
        <i/>
        <sz val="11"/>
        <color theme="1"/>
        <rFont val="Aptos Narrow"/>
        <family val="2"/>
        <scheme val="minor"/>
      </rPr>
      <t>%Cu</t>
    </r>
    <r>
      <rPr>
        <b/>
        <sz val="11"/>
        <color theme="1"/>
        <rFont val="Aptos Narrow"/>
        <family val="2"/>
        <scheme val="minor"/>
      </rPr>
      <t>]</t>
    </r>
  </si>
  <si>
    <r>
      <t>[</t>
    </r>
    <r>
      <rPr>
        <b/>
        <i/>
        <sz val="11"/>
        <color theme="1"/>
        <rFont val="Aptos Narrow"/>
        <family val="2"/>
        <scheme val="minor"/>
      </rPr>
      <t>%Cu</t>
    </r>
    <r>
      <rPr>
        <b/>
        <sz val="11"/>
        <color theme="1"/>
        <rFont val="Aptos Narrow"/>
        <family val="2"/>
        <scheme val="minor"/>
      </rPr>
      <t>][dried]</t>
    </r>
  </si>
  <si>
    <t>← reported value</t>
  </si>
  <si>
    <t>Correcred analysis, used wrong sample weight.</t>
  </si>
  <si>
    <t>Request Worksheet</t>
  </si>
  <si>
    <t>Project#</t>
  </si>
  <si>
    <t>Analysis</t>
  </si>
  <si>
    <t>element:</t>
  </si>
  <si>
    <t>loi</t>
  </si>
  <si>
    <t>Submission ID</t>
  </si>
  <si>
    <t>element</t>
  </si>
  <si>
    <t>L.O.I</t>
  </si>
  <si>
    <t>Notes/Comments:</t>
  </si>
  <si>
    <t>below</t>
  </si>
  <si>
    <t>Date</t>
  </si>
  <si>
    <t>Fe</t>
  </si>
  <si>
    <t>Sample</t>
  </si>
  <si>
    <t>Hotplate:</t>
  </si>
  <si>
    <t>Microwave:</t>
  </si>
  <si>
    <t>Katanax: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</si>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</sst>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m/d/yyyy;@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sz val="15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0" tint="-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9" fontId="0" fillId="0" borderId="0" xfId="0" applyNumberFormat="1"/>
    <xf numFmtId="0" fontId="7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9" fontId="10" fillId="0" borderId="0" xfId="0" applyNumberFormat="1" applyFont="1"/>
    <xf numFmtId="14" fontId="0" fillId="0" borderId="0" xfId="0" applyNumberFormat="1"/>
    <xf numFmtId="2" fontId="0" fillId="2" borderId="0" xfId="0" applyNumberFormat="1" applyFill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0" fillId="4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 applyAlignment="1">
      <alignment horizontal="left"/>
    </xf>
    <xf numFmtId="166" fontId="0" fillId="0" borderId="0" xfId="0" applyNumberFormat="1"/>
    <xf numFmtId="0" fontId="0" fillId="4" borderId="0" xfId="0" applyFill="1"/>
    <xf numFmtId="13" fontId="0" fillId="4" borderId="0" xfId="0" applyNumberFormat="1" applyFill="1"/>
    <xf numFmtId="14" fontId="0" fillId="4" borderId="0" xfId="0" applyNumberFormat="1" applyFill="1"/>
    <xf numFmtId="0" fontId="15" fillId="3" borderId="0" xfId="0" applyFont="1" applyFill="1"/>
    <xf numFmtId="0" fontId="13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fmlaLink="$C$29" lockText="1" noThreeD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png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171450</xdr:rowOff>
        </xdr:from>
        <xdr:to>
          <xdr:col>3</xdr:col>
          <xdr:colOff>0</xdr:colOff>
          <xdr:row>16</xdr:row>
          <xdr:rowOff>31750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95250</xdr:colOff>
      <xdr:row>1</xdr:row>
      <xdr:rowOff>28575</xdr:rowOff>
    </xdr:from>
    <xdr:to>
      <xdr:col>4</xdr:col>
      <xdr:colOff>495300</xdr:colOff>
      <xdr:row>1</xdr:row>
      <xdr:rowOff>428625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C7F37F-001F-E641-9D0E-C4E12CF6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219075"/>
          <a:ext cx="400050" cy="400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1047750</xdr:colOff>
          <xdr:row>16</xdr:row>
          <xdr:rowOff>171450</xdr:rowOff>
        </xdr:from>
        <xdr:to>
          <xdr:col>3</xdr:col>
          <xdr:colOff>190500</xdr:colOff>
          <xdr:row>18</xdr:row>
          <xdr:rowOff>95250</xdr:rowOff>
        </xdr:to>
        <xdr:sp macro="" textlink="">
          <xdr:nvSpPr>
            <xdr:cNvPr id="4102" name="Butto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23</xdr:row>
      <xdr:rowOff>38100</xdr:rowOff>
    </xdr:from>
    <xdr:to>
      <xdr:col>2</xdr:col>
      <xdr:colOff>742950</xdr:colOff>
      <xdr:row>25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A9AB71-F5D5-FBA9-868C-91FE51BB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648200"/>
          <a:ext cx="23526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514350</xdr:colOff>
      <xdr:row>30</xdr:row>
      <xdr:rowOff>0</xdr:rowOff>
    </xdr:from>
    <xdr:to>
      <xdr:col>2</xdr:col>
      <xdr:colOff>885825</xdr:colOff>
      <xdr:row>31</xdr:row>
      <xdr:rowOff>133350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A477FA4-9C99-C5EA-61E3-088FB2D6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515100"/>
          <a:ext cx="20764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638175</xdr:colOff>
      <xdr:row>32</xdr:row>
      <xdr:rowOff>28575</xdr:rowOff>
    </xdr:from>
    <xdr:to>
      <xdr:col>2</xdr:col>
      <xdr:colOff>466725</xdr:colOff>
      <xdr:row>33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6CBFAAF-8604-7AF6-F174-C4B65215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6924675"/>
          <a:ext cx="1533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457200</xdr:colOff>
      <xdr:row>34</xdr:row>
      <xdr:rowOff>38100</xdr:rowOff>
    </xdr:from>
    <xdr:to>
      <xdr:col>2</xdr:col>
      <xdr:colOff>581025</xdr:colOff>
      <xdr:row>36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FFD11C4-A8CB-D85B-10BC-F99709030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315200"/>
          <a:ext cx="1828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23</xdr:row>
      <xdr:rowOff>171450</xdr:rowOff>
    </xdr:from>
    <xdr:to>
      <xdr:col>2</xdr:col>
      <xdr:colOff>857250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06234-4C48-DC50-62CC-16D40448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400550"/>
          <a:ext cx="21145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466725</xdr:colOff>
      <xdr:row>30</xdr:row>
      <xdr:rowOff>76200</xdr:rowOff>
    </xdr:from>
    <xdr:to>
      <xdr:col>2</xdr:col>
      <xdr:colOff>838200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0AD888-783C-6081-ADB8-3BDB6CEF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210300"/>
          <a:ext cx="20764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790575</xdr:colOff>
      <xdr:row>32</xdr:row>
      <xdr:rowOff>104775</xdr:rowOff>
    </xdr:from>
    <xdr:to>
      <xdr:col>2</xdr:col>
      <xdr:colOff>619125</xdr:colOff>
      <xdr:row>34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D0A370-B993-0E0E-20F6-E51E15C9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6619875"/>
          <a:ext cx="1533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704850</xdr:colOff>
      <xdr:row>34</xdr:row>
      <xdr:rowOff>152400</xdr:rowOff>
    </xdr:from>
    <xdr:to>
      <xdr:col>2</xdr:col>
      <xdr:colOff>647700</xdr:colOff>
      <xdr:row>36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B68B68-09C1-A436-138C-387FCEBD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7048500"/>
          <a:ext cx="16478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23</xdr:row>
      <xdr:rowOff>95250</xdr:rowOff>
    </xdr:from>
    <xdr:to>
      <xdr:col>2</xdr:col>
      <xdr:colOff>676275</xdr:colOff>
      <xdr:row>25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7FBBD-04B2-6BB6-330A-3C4F71C0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324350"/>
          <a:ext cx="21145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619125</xdr:colOff>
      <xdr:row>26</xdr:row>
      <xdr:rowOff>76200</xdr:rowOff>
    </xdr:from>
    <xdr:to>
      <xdr:col>2</xdr:col>
      <xdr:colOff>609600</xdr:colOff>
      <xdr:row>27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ABD38-BA92-1B80-0825-5DA3CCE5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4876800"/>
          <a:ext cx="18764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676275</xdr:colOff>
      <xdr:row>32</xdr:row>
      <xdr:rowOff>0</xdr:rowOff>
    </xdr:from>
    <xdr:to>
      <xdr:col>2</xdr:col>
      <xdr:colOff>866775</xdr:colOff>
      <xdr:row>33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3E1020-B2AF-A120-8A04-38CA5294F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6515100"/>
          <a:ext cx="20764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819150</xdr:colOff>
      <xdr:row>34</xdr:row>
      <xdr:rowOff>76200</xdr:rowOff>
    </xdr:from>
    <xdr:to>
      <xdr:col>2</xdr:col>
      <xdr:colOff>466725</xdr:colOff>
      <xdr:row>36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CD2A16-DB35-B63A-A43C-2F62AC06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6972300"/>
          <a:ext cx="1533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742950</xdr:colOff>
      <xdr:row>37</xdr:row>
      <xdr:rowOff>38100</xdr:rowOff>
    </xdr:from>
    <xdr:to>
      <xdr:col>2</xdr:col>
      <xdr:colOff>514350</xdr:colOff>
      <xdr:row>38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64C2E0-5C78-DAEC-2579-FF3A17B9C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7505700"/>
          <a:ext cx="16573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cheme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unctions"/>
    </defined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D5C8-4F68-420D-89F7-76C6B3CE96BC}">
  <sheetPr codeName="Sheet1"/>
  <dimension ref="B2:E29"/>
  <sheetViews>
    <sheetView tabSelected="1" topLeftCell="A6" workbookViewId="0">
      <selection activeCell="C23" sqref="C23:C29"/>
    </sheetView>
  </sheetViews>
  <sheetFormatPr defaultRowHeight="14.5" x14ac:dyDescent="0.35"/>
  <cols>
    <col min="2" max="2" width="17.453125" bestFit="1" customWidth="1"/>
    <col min="3" max="3" width="17.7265625" bestFit="1" customWidth="1"/>
  </cols>
  <sheetData>
    <row r="2" spans="2:5" ht="35.25" customHeight="1" x14ac:dyDescent="0.35">
      <c r="B2" s="36" t="s">
        <v>54</v>
      </c>
      <c r="C2" s="37"/>
      <c r="D2" s="37"/>
      <c r="E2" s="38"/>
    </row>
    <row r="3" spans="2:5" x14ac:dyDescent="0.35">
      <c r="B3" s="25"/>
      <c r="E3" s="26"/>
    </row>
    <row r="4" spans="2:5" x14ac:dyDescent="0.35">
      <c r="B4" s="25" t="s">
        <v>36</v>
      </c>
      <c r="C4" s="30">
        <v>46086</v>
      </c>
      <c r="E4" s="26"/>
    </row>
    <row r="5" spans="2:5" ht="3.75" customHeight="1" x14ac:dyDescent="0.35">
      <c r="B5" s="25"/>
      <c r="E5" s="26"/>
    </row>
    <row r="6" spans="2:5" x14ac:dyDescent="0.35">
      <c r="B6" s="25" t="s">
        <v>0</v>
      </c>
      <c r="C6" s="22">
        <v>100048287</v>
      </c>
      <c r="E6" s="26"/>
    </row>
    <row r="7" spans="2:5" ht="3.75" customHeight="1" x14ac:dyDescent="0.35">
      <c r="B7" s="25"/>
      <c r="E7" s="26"/>
    </row>
    <row r="8" spans="2:5" ht="16" customHeight="1" x14ac:dyDescent="0.35">
      <c r="B8" s="25" t="s">
        <v>66</v>
      </c>
      <c r="C8" s="22">
        <v>200127635</v>
      </c>
      <c r="E8" s="26"/>
    </row>
    <row r="9" spans="2:5" ht="3.75" customHeight="1" x14ac:dyDescent="0.35">
      <c r="B9" s="25"/>
      <c r="E9" s="26"/>
    </row>
    <row r="10" spans="2:5" x14ac:dyDescent="0.35">
      <c r="B10" s="25" t="s">
        <v>55</v>
      </c>
      <c r="C10" s="23" t="s">
        <v>46</v>
      </c>
      <c r="E10" s="26"/>
    </row>
    <row r="11" spans="2:5" ht="3.75" customHeight="1" x14ac:dyDescent="0.35">
      <c r="B11" s="25"/>
      <c r="E11" s="26"/>
    </row>
    <row r="12" spans="2:5" x14ac:dyDescent="0.35">
      <c r="B12" s="25" t="s">
        <v>1</v>
      </c>
      <c r="C12" s="24" t="s">
        <v>41</v>
      </c>
      <c r="E12" s="26"/>
    </row>
    <row r="13" spans="2:5" x14ac:dyDescent="0.35">
      <c r="B13" s="25"/>
      <c r="E13" s="26"/>
    </row>
    <row r="14" spans="2:5" x14ac:dyDescent="0.35">
      <c r="B14" s="25" t="s">
        <v>57</v>
      </c>
      <c r="C14" s="24" t="s">
        <v>65</v>
      </c>
      <c r="E14" s="26"/>
    </row>
    <row r="15" spans="2:5" ht="3.75" customHeight="1" x14ac:dyDescent="0.35">
      <c r="B15" s="25"/>
      <c r="E15" s="26"/>
    </row>
    <row r="16" spans="2:5" x14ac:dyDescent="0.35">
      <c r="B16" s="25" t="s">
        <v>61</v>
      </c>
      <c r="E16" s="26"/>
    </row>
    <row r="17" spans="2:5" x14ac:dyDescent="0.35">
      <c r="B17" s="25"/>
      <c r="E17" s="26"/>
    </row>
    <row r="18" spans="2:5" x14ac:dyDescent="0.35">
      <c r="B18" s="25"/>
      <c r="E18" s="26"/>
    </row>
    <row r="19" spans="2:5" x14ac:dyDescent="0.35">
      <c r="B19" s="25"/>
      <c r="E19" s="26"/>
    </row>
    <row r="20" spans="2:5" x14ac:dyDescent="0.35">
      <c r="B20" s="27"/>
      <c r="C20" s="28"/>
      <c r="D20" s="28"/>
      <c r="E20" s="29"/>
    </row>
    <row r="23" spans="2:5" x14ac:dyDescent="0.35">
      <c r="B23" s="32" t="s">
        <v>64</v>
      </c>
      <c r="C23" s="34">
        <f>C4</f>
        <v>46086</v>
      </c>
    </row>
    <row r="24" spans="2:5" x14ac:dyDescent="0.35">
      <c r="B24" s="32" t="s">
        <v>59</v>
      </c>
      <c r="C24" s="32">
        <f>C6</f>
        <v>100048287</v>
      </c>
    </row>
    <row r="25" spans="2:5" x14ac:dyDescent="0.35">
      <c r="B25" s="32" t="s">
        <v>66</v>
      </c>
      <c r="C25" s="32">
        <f>C8</f>
        <v>200127635</v>
      </c>
    </row>
    <row r="26" spans="2:5" x14ac:dyDescent="0.35">
      <c r="B26" s="32" t="s">
        <v>55</v>
      </c>
      <c r="C26" s="32" t="str">
        <f>C10</f>
        <v>Analytical</v>
      </c>
    </row>
    <row r="27" spans="2:5" x14ac:dyDescent="0.35">
      <c r="B27" s="32" t="s">
        <v>56</v>
      </c>
      <c r="C27" s="32" t="str">
        <f>C12</f>
        <v>Agilent ICP Cu ppm</v>
      </c>
    </row>
    <row r="28" spans="2:5" x14ac:dyDescent="0.35">
      <c r="B28" s="32" t="s">
        <v>60</v>
      </c>
      <c r="C28" s="32" t="str">
        <f>C14</f>
        <v>Fe</v>
      </c>
    </row>
    <row r="29" spans="2:5" x14ac:dyDescent="0.35">
      <c r="B29" s="32" t="s">
        <v>58</v>
      </c>
      <c r="C29" s="32" t="b">
        <v>0</v>
      </c>
    </row>
  </sheetData>
  <mergeCells count="1">
    <mergeCell ref="B2:E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1" r:id="rId3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14</xdr:row>
                    <xdr:rowOff>171450</xdr:rowOff>
                  </from>
                  <to>
                    <xdr:col>3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4" name="Button 6">
              <controlPr defaultSize="0" print="0" autoFill="0" autoPict="0" macro="[1]!Functions">
                <anchor moveWithCells="1" sizeWithCells="1">
                  <from>
                    <xdr:col>1</xdr:col>
                    <xdr:colOff>1047750</xdr:colOff>
                    <xdr:row>16</xdr:row>
                    <xdr:rowOff>171450</xdr:rowOff>
                  </from>
                  <to>
                    <xdr:col>3</xdr:col>
                    <xdr:colOff>190500</xdr:colOff>
                    <xdr:row>18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DD05-37BA-4966-A263-616DE3FED767}">
  <sheetPr codeName="Sheet2"/>
  <dimension ref="A1:O39"/>
  <sheetViews>
    <sheetView workbookViewId="0">
      <selection activeCell="J2" sqref="J2:P2"/>
    </sheetView>
  </sheetViews>
  <sheetFormatPr defaultRowHeight="14.5" x14ac:dyDescent="0.35"/>
  <cols>
    <col min="1" max="1" width="14.453125" bestFit="1" customWidth="1"/>
    <col min="2" max="2" width="11.1796875" bestFit="1" customWidth="1"/>
    <col min="3" max="3" width="19" bestFit="1" customWidth="1"/>
    <col min="4" max="4" width="20.81640625" bestFit="1" customWidth="1"/>
    <col min="5" max="5" width="16" bestFit="1" customWidth="1"/>
    <col min="6" max="6" width="10.54296875" bestFit="1" customWidth="1"/>
    <col min="10" max="10" width="14" bestFit="1" customWidth="1"/>
    <col min="11" max="11" width="10" bestFit="1" customWidth="1"/>
    <col min="15" max="15" width="9.26953125" bestFit="1" customWidth="1"/>
  </cols>
  <sheetData>
    <row r="1" spans="1:15" x14ac:dyDescent="0.35">
      <c r="A1" t="s">
        <v>36</v>
      </c>
      <c r="B1" s="31">
        <f>J2</f>
        <v>0</v>
      </c>
      <c r="J1" s="35" t="s">
        <v>63</v>
      </c>
      <c r="K1" s="35"/>
      <c r="L1" s="35"/>
      <c r="M1" s="35"/>
      <c r="N1" s="35"/>
      <c r="O1" s="35"/>
    </row>
    <row r="2" spans="1:15" x14ac:dyDescent="0.35">
      <c r="A2" t="s">
        <v>0</v>
      </c>
      <c r="B2" s="7">
        <f>K2</f>
        <v>0</v>
      </c>
      <c r="J2" s="35"/>
      <c r="K2" s="35"/>
      <c r="L2" s="35"/>
      <c r="M2" s="35"/>
      <c r="N2" s="35"/>
      <c r="O2" s="35"/>
    </row>
    <row r="3" spans="1:15" x14ac:dyDescent="0.35">
      <c r="A3" t="s">
        <v>14</v>
      </c>
      <c r="B3" s="1">
        <f>M2</f>
        <v>0</v>
      </c>
      <c r="J3" t="s">
        <v>68</v>
      </c>
    </row>
    <row r="4" spans="1:15" x14ac:dyDescent="0.35">
      <c r="A4" t="s">
        <v>1</v>
      </c>
      <c r="B4">
        <f>N2</f>
        <v>0</v>
      </c>
      <c r="J4" t="s">
        <v>69</v>
      </c>
    </row>
    <row r="5" spans="1:15" x14ac:dyDescent="0.35">
      <c r="J5" t="s">
        <v>67</v>
      </c>
    </row>
    <row r="6" spans="1:15" x14ac:dyDescent="0.35">
      <c r="A6" s="6" t="s">
        <v>2</v>
      </c>
    </row>
    <row r="7" spans="1:15" x14ac:dyDescent="0.35">
      <c r="A7" s="10" t="s">
        <v>3</v>
      </c>
      <c r="B7" s="10" t="s">
        <v>11</v>
      </c>
      <c r="C7" s="10" t="s">
        <v>12</v>
      </c>
      <c r="D7" s="10" t="s">
        <v>31</v>
      </c>
      <c r="E7" s="10" t="s">
        <v>4</v>
      </c>
      <c r="F7" s="10" t="s">
        <v>5</v>
      </c>
    </row>
    <row r="8" spans="1:15" x14ac:dyDescent="0.35">
      <c r="A8" s="11">
        <f>L2</f>
        <v>0</v>
      </c>
      <c r="B8" s="11">
        <v>20</v>
      </c>
      <c r="C8" s="11">
        <v>22</v>
      </c>
      <c r="D8" s="11">
        <v>22</v>
      </c>
      <c r="E8" s="12">
        <f>(((C8-B8)-(D8-B8))/(C8-B8))*100</f>
        <v>0</v>
      </c>
      <c r="F8" s="13">
        <f>1-(E8/100)</f>
        <v>1</v>
      </c>
    </row>
    <row r="9" spans="1:15" x14ac:dyDescent="0.35">
      <c r="A9" s="1"/>
    </row>
    <row r="10" spans="1:15" x14ac:dyDescent="0.35">
      <c r="A10" s="1" t="s">
        <v>6</v>
      </c>
      <c r="B10" t="s">
        <v>67</v>
      </c>
      <c r="C10" t="s">
        <v>70</v>
      </c>
    </row>
    <row r="11" spans="1:15" ht="16.5" x14ac:dyDescent="0.45">
      <c r="A11" s="10" t="s">
        <v>3</v>
      </c>
      <c r="B11" s="10" t="s">
        <v>7</v>
      </c>
      <c r="C11" s="10" t="s">
        <v>8</v>
      </c>
      <c r="D11" s="17" t="s">
        <v>18</v>
      </c>
      <c r="E11" s="17" t="s">
        <v>19</v>
      </c>
      <c r="F11" s="17" t="s">
        <v>42</v>
      </c>
      <c r="G11" s="17" t="s">
        <v>43</v>
      </c>
      <c r="H11" s="17" t="s">
        <v>22</v>
      </c>
      <c r="I11" s="17" t="s">
        <v>23</v>
      </c>
      <c r="J11" s="17" t="s">
        <v>24</v>
      </c>
    </row>
    <row r="12" spans="1:15" x14ac:dyDescent="0.35">
      <c r="A12" s="24">
        <f>L2</f>
        <v>0</v>
      </c>
      <c r="B12" s="24"/>
      <c r="C12" s="24"/>
      <c r="D12" s="18"/>
      <c r="E12" s="18"/>
      <c r="F12" s="18"/>
      <c r="G12" s="18"/>
      <c r="H12" s="18"/>
      <c r="I12" s="18"/>
      <c r="J12" s="19"/>
    </row>
    <row r="13" spans="1:15" x14ac:dyDescent="0.35">
      <c r="A13" s="24">
        <f>L2</f>
        <v>0</v>
      </c>
      <c r="B13" s="24"/>
      <c r="C13" s="24"/>
      <c r="D13" s="18"/>
      <c r="E13" s="18"/>
      <c r="F13" s="18"/>
      <c r="G13" s="18"/>
      <c r="H13" s="18"/>
      <c r="I13" s="18"/>
      <c r="J13" s="18"/>
    </row>
    <row r="14" spans="1:15" x14ac:dyDescent="0.35">
      <c r="D14" s="18"/>
      <c r="E14" s="18"/>
      <c r="F14" s="18"/>
      <c r="G14" s="18"/>
      <c r="H14" s="18"/>
      <c r="I14" s="18"/>
      <c r="J14" s="18"/>
    </row>
    <row r="15" spans="1:15" x14ac:dyDescent="0.35">
      <c r="A15" s="1"/>
    </row>
    <row r="16" spans="1:15" x14ac:dyDescent="0.35">
      <c r="A16" s="10" t="s">
        <v>3</v>
      </c>
      <c r="B16" s="10" t="s">
        <v>9</v>
      </c>
      <c r="C16" s="10" t="str">
        <f>O2&amp;" "&amp;"[mg/L]"</f>
        <v xml:space="preserve"> [mg/L]</v>
      </c>
      <c r="D16" s="10" t="str">
        <f>O2&amp;" "&amp;"[ppm]"</f>
        <v xml:space="preserve"> [ppm]</v>
      </c>
      <c r="E16" s="10" t="str">
        <f>O2&amp;" "&amp;"[ppm][dried]"</f>
        <v xml:space="preserve"> [ppm][dried]</v>
      </c>
      <c r="F16" s="1"/>
    </row>
    <row r="17" spans="1:6" x14ac:dyDescent="0.35">
      <c r="A17" s="32">
        <f>L2</f>
        <v>0</v>
      </c>
      <c r="B17" s="33" t="str">
        <f>"1/1"</f>
        <v>1/1</v>
      </c>
      <c r="C17" s="32"/>
      <c r="D17" s="4" t="e">
        <f>((C17*C12)*(LEFT(B17,FIND("/",B17)-1)/RIGHT(B17,LEN(B17)-FIND("/",B17)))/B12)</f>
        <v>#DIV/0!</v>
      </c>
      <c r="E17" s="4" t="e">
        <f>D17/$F$8</f>
        <v>#DIV/0!</v>
      </c>
    </row>
    <row r="18" spans="1:6" x14ac:dyDescent="0.35">
      <c r="A18" s="32">
        <f>L2</f>
        <v>0</v>
      </c>
      <c r="B18" s="33" t="str">
        <f t="shared" ref="B18" si="0">"1/1"</f>
        <v>1/1</v>
      </c>
      <c r="C18" s="32"/>
      <c r="D18" s="4" t="e">
        <f t="shared" ref="D18" si="1">((C18*C13)*(LEFT(B18,FIND("/",B18)-1)/RIGHT(B18,LEN(B18)-FIND("/",B18)))/B13)</f>
        <v>#DIV/0!</v>
      </c>
      <c r="E18" s="4" t="e">
        <f t="shared" ref="E18" si="2">D18/$F$8</f>
        <v>#DIV/0!</v>
      </c>
    </row>
    <row r="19" spans="1:6" x14ac:dyDescent="0.35">
      <c r="D19" s="4" t="e">
        <f>AVERAGE(D17:D18)</f>
        <v>#DIV/0!</v>
      </c>
      <c r="E19" s="4" t="e">
        <f>AVERAGE(E17:E18)</f>
        <v>#DIV/0!</v>
      </c>
      <c r="F19" s="1"/>
    </row>
    <row r="21" spans="1:6" x14ac:dyDescent="0.35">
      <c r="A21" s="39"/>
      <c r="B21" s="39"/>
      <c r="C21" s="39"/>
      <c r="D21" s="39"/>
      <c r="E21" s="39"/>
    </row>
    <row r="22" spans="1:6" x14ac:dyDescent="0.35">
      <c r="A22" s="39"/>
      <c r="B22" s="39"/>
      <c r="C22" s="39"/>
      <c r="D22" s="39"/>
      <c r="E22" s="39"/>
    </row>
    <row r="28" spans="1:6" x14ac:dyDescent="0.35">
      <c r="A28" s="14" t="s">
        <v>32</v>
      </c>
    </row>
    <row r="29" spans="1:6" ht="29" x14ac:dyDescent="0.35">
      <c r="A29" s="14" t="s">
        <v>33</v>
      </c>
    </row>
    <row r="30" spans="1:6" ht="43.5" x14ac:dyDescent="0.35">
      <c r="A30" s="14" t="s">
        <v>34</v>
      </c>
    </row>
    <row r="31" spans="1:6" x14ac:dyDescent="0.35">
      <c r="A31" s="15"/>
    </row>
    <row r="32" spans="1:6" x14ac:dyDescent="0.35">
      <c r="A32" s="16"/>
    </row>
    <row r="39" spans="1:1" x14ac:dyDescent="0.35">
      <c r="A39" s="5" t="s">
        <v>62</v>
      </c>
    </row>
  </sheetData>
  <mergeCells count="2">
    <mergeCell ref="A21:E21"/>
    <mergeCell ref="A22:E22"/>
  </mergeCells>
  <phoneticPr fontId="4" type="noConversion"/>
  <dataValidations count="2">
    <dataValidation type="list" allowBlank="1" showInputMessage="1" showErrorMessage="1" sqref="B10" xr:uid="{BA59DF1D-3D2C-4589-9437-25D8F1BB4CEE}">
      <formula1>$J$3:$J$5</formula1>
    </dataValidation>
    <dataValidation allowBlank="1" showInputMessage="1" showErrorMessage="1" promptTitle="use for lot number" prompt="please enter lot number" sqref="A21:A22" xr:uid="{016EA2AF-28A3-44D8-A3F0-F9BEC4E2F4E6}"/>
  </dataValidations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0290-B2B0-46CC-B3FE-9F7A3D7B3157}">
  <sheetPr codeName="Sheet3"/>
  <dimension ref="A1:J41"/>
  <sheetViews>
    <sheetView topLeftCell="A4" workbookViewId="0">
      <selection activeCell="B18" sqref="B18"/>
    </sheetView>
  </sheetViews>
  <sheetFormatPr defaultRowHeight="14.5" x14ac:dyDescent="0.35"/>
  <cols>
    <col min="1" max="1" width="14.453125" bestFit="1" customWidth="1"/>
    <col min="2" max="2" width="11.1796875" customWidth="1"/>
    <col min="3" max="3" width="19" bestFit="1" customWidth="1"/>
    <col min="4" max="4" width="20.81640625" bestFit="1" customWidth="1"/>
    <col min="5" max="5" width="12.54296875" bestFit="1" customWidth="1"/>
    <col min="6" max="6" width="10.26953125" bestFit="1" customWidth="1"/>
  </cols>
  <sheetData>
    <row r="1" spans="1:10" x14ac:dyDescent="0.35">
      <c r="A1" t="s">
        <v>36</v>
      </c>
      <c r="B1" s="20">
        <v>46099</v>
      </c>
      <c r="C1" t="s">
        <v>53</v>
      </c>
    </row>
    <row r="2" spans="1:10" x14ac:dyDescent="0.35">
      <c r="A2" t="s">
        <v>0</v>
      </c>
      <c r="B2" s="7">
        <v>100048287</v>
      </c>
    </row>
    <row r="3" spans="1:10" x14ac:dyDescent="0.35">
      <c r="A3" t="s">
        <v>14</v>
      </c>
      <c r="B3" s="1" t="s">
        <v>46</v>
      </c>
    </row>
    <row r="4" spans="1:10" x14ac:dyDescent="0.35">
      <c r="A4" t="s">
        <v>1</v>
      </c>
      <c r="B4" t="s">
        <v>47</v>
      </c>
    </row>
    <row r="6" spans="1:10" x14ac:dyDescent="0.35">
      <c r="A6" s="6" t="s">
        <v>2</v>
      </c>
    </row>
    <row r="7" spans="1:10" x14ac:dyDescent="0.35">
      <c r="A7" s="10" t="s">
        <v>3</v>
      </c>
      <c r="B7" s="10" t="s">
        <v>11</v>
      </c>
      <c r="C7" s="10" t="s">
        <v>12</v>
      </c>
      <c r="D7" s="10" t="s">
        <v>31</v>
      </c>
      <c r="E7" s="10" t="s">
        <v>4</v>
      </c>
      <c r="F7" s="10" t="s">
        <v>5</v>
      </c>
    </row>
    <row r="8" spans="1:10" x14ac:dyDescent="0.35">
      <c r="A8" s="11" t="s">
        <v>10</v>
      </c>
      <c r="B8" s="11">
        <v>27.978300000000001</v>
      </c>
      <c r="C8" s="11">
        <v>29.9816</v>
      </c>
      <c r="D8" s="11">
        <v>29.957999999999998</v>
      </c>
      <c r="E8" s="12">
        <f>(((C8-B8)-(D8-B8))/(C8-B8))*100</f>
        <v>1.1780562072581164</v>
      </c>
      <c r="F8" s="13">
        <f>1-(E8/100)</f>
        <v>0.98821943792741884</v>
      </c>
    </row>
    <row r="9" spans="1:10" x14ac:dyDescent="0.35">
      <c r="A9" s="1"/>
    </row>
    <row r="10" spans="1:10" x14ac:dyDescent="0.35">
      <c r="A10" s="1" t="s">
        <v>6</v>
      </c>
      <c r="B10" t="s">
        <v>40</v>
      </c>
    </row>
    <row r="11" spans="1:10" ht="16.5" x14ac:dyDescent="0.45">
      <c r="A11" s="10" t="s">
        <v>3</v>
      </c>
      <c r="B11" s="10" t="s">
        <v>7</v>
      </c>
      <c r="C11" s="10" t="s">
        <v>8</v>
      </c>
      <c r="D11" s="17" t="s">
        <v>18</v>
      </c>
      <c r="E11" s="17" t="s">
        <v>19</v>
      </c>
      <c r="F11" s="17" t="s">
        <v>42</v>
      </c>
      <c r="G11" s="17" t="s">
        <v>43</v>
      </c>
      <c r="H11" s="17" t="s">
        <v>22</v>
      </c>
      <c r="I11" s="17" t="s">
        <v>23</v>
      </c>
      <c r="J11" s="17" t="s">
        <v>24</v>
      </c>
    </row>
    <row r="12" spans="1:10" x14ac:dyDescent="0.35">
      <c r="A12" t="s">
        <v>37</v>
      </c>
      <c r="B12">
        <v>0.20710000000000001</v>
      </c>
      <c r="C12">
        <v>250</v>
      </c>
      <c r="D12" s="18"/>
      <c r="E12" s="18"/>
      <c r="F12" s="18"/>
      <c r="G12" s="18"/>
      <c r="H12" s="18"/>
      <c r="I12" s="18"/>
      <c r="J12" s="19"/>
    </row>
    <row r="13" spans="1:10" x14ac:dyDescent="0.35">
      <c r="A13" t="s">
        <v>38</v>
      </c>
      <c r="B13">
        <v>0.40889999999999999</v>
      </c>
      <c r="C13">
        <v>250</v>
      </c>
      <c r="D13" s="18"/>
      <c r="E13" s="18"/>
      <c r="F13" s="18"/>
      <c r="G13" s="18"/>
      <c r="H13" s="18"/>
      <c r="I13" s="18"/>
      <c r="J13" s="18"/>
    </row>
    <row r="14" spans="1:10" x14ac:dyDescent="0.35">
      <c r="A14" t="s">
        <v>39</v>
      </c>
      <c r="B14">
        <v>0.40600000000000003</v>
      </c>
      <c r="C14">
        <v>250</v>
      </c>
      <c r="D14" s="18"/>
      <c r="E14" s="18"/>
      <c r="F14" s="18"/>
      <c r="G14" s="18"/>
      <c r="H14" s="18"/>
      <c r="I14" s="18"/>
      <c r="J14" s="18"/>
    </row>
    <row r="15" spans="1:10" x14ac:dyDescent="0.35">
      <c r="A15" s="1"/>
    </row>
    <row r="16" spans="1:10" x14ac:dyDescent="0.35">
      <c r="A16" s="1" t="s">
        <v>3</v>
      </c>
      <c r="B16" s="1" t="s">
        <v>9</v>
      </c>
      <c r="C16" s="1" t="s">
        <v>49</v>
      </c>
      <c r="D16" s="1" t="s">
        <v>50</v>
      </c>
      <c r="E16" s="1" t="s">
        <v>51</v>
      </c>
      <c r="F16" s="1"/>
    </row>
    <row r="17" spans="1:6" x14ac:dyDescent="0.35">
      <c r="A17" t="s">
        <v>37</v>
      </c>
      <c r="B17" t="str">
        <f>"25/10"</f>
        <v>25/10</v>
      </c>
      <c r="C17">
        <v>2.08</v>
      </c>
      <c r="D17" s="4">
        <f>((C17*C12)*(LEFT(B17,FIND("/",B17)-1)/RIGHT(B17,LEN(B17)-FIND("/",B17)))/(B12*10^4))</f>
        <v>0.62771607918879768</v>
      </c>
      <c r="E17" s="4">
        <f>D17/$F$8</f>
        <v>0.63519908139562542</v>
      </c>
    </row>
    <row r="18" spans="1:6" x14ac:dyDescent="0.35">
      <c r="A18" t="s">
        <v>38</v>
      </c>
      <c r="B18" t="str">
        <f t="shared" ref="B18:B19" si="0">"25/20"</f>
        <v>25/20</v>
      </c>
      <c r="C18">
        <v>2.0619999999999998</v>
      </c>
      <c r="D18" s="4">
        <f t="shared" ref="D18:D19" si="1">((C18*C13)*(LEFT(B18,FIND("/",B18)-1)/RIGHT(B18,LEN(B18)-FIND("/",B18)))/(B13*10^4))</f>
        <v>0.15758742968941061</v>
      </c>
      <c r="E18" s="4">
        <f t="shared" ref="E18:E19" si="2">D18/$F$8</f>
        <v>0.15946602914421204</v>
      </c>
    </row>
    <row r="19" spans="1:6" x14ac:dyDescent="0.35">
      <c r="A19" t="s">
        <v>39</v>
      </c>
      <c r="B19" t="str">
        <f t="shared" si="0"/>
        <v>25/20</v>
      </c>
      <c r="C19">
        <v>2.0550000000000002</v>
      </c>
      <c r="D19" s="4">
        <f t="shared" si="1"/>
        <v>0.15817426108374383</v>
      </c>
      <c r="E19" s="4">
        <f t="shared" si="2"/>
        <v>0.16005985615450033</v>
      </c>
    </row>
    <row r="20" spans="1:6" x14ac:dyDescent="0.35">
      <c r="D20" s="4">
        <f>AVERAGE(D17:D19)</f>
        <v>0.31449258998731738</v>
      </c>
      <c r="E20" s="21">
        <f>AVERAGE(E17:E19)</f>
        <v>0.31824165556477929</v>
      </c>
      <c r="F20" s="1" t="s">
        <v>52</v>
      </c>
    </row>
    <row r="22" spans="1:6" x14ac:dyDescent="0.35">
      <c r="A22" s="9" t="s">
        <v>44</v>
      </c>
    </row>
    <row r="23" spans="1:6" x14ac:dyDescent="0.35">
      <c r="A23" s="6" t="s">
        <v>45</v>
      </c>
    </row>
    <row r="28" spans="1:6" x14ac:dyDescent="0.35">
      <c r="A28" s="14" t="s">
        <v>32</v>
      </c>
    </row>
    <row r="29" spans="1:6" ht="29" x14ac:dyDescent="0.35">
      <c r="A29" s="14" t="s">
        <v>33</v>
      </c>
    </row>
    <row r="30" spans="1:6" ht="43.5" x14ac:dyDescent="0.35">
      <c r="A30" s="14" t="s">
        <v>34</v>
      </c>
    </row>
    <row r="31" spans="1:6" x14ac:dyDescent="0.35">
      <c r="A31" s="15"/>
    </row>
    <row r="32" spans="1:6" x14ac:dyDescent="0.35">
      <c r="A32" s="15"/>
    </row>
    <row r="41" spans="1:1" x14ac:dyDescent="0.35">
      <c r="A41" s="5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B32A-91A7-497E-995B-8FCDA2DD2D33}">
  <sheetPr codeName="Sheet4"/>
  <dimension ref="A1:J33"/>
  <sheetViews>
    <sheetView workbookViewId="0">
      <selection activeCell="E18" sqref="E18"/>
    </sheetView>
  </sheetViews>
  <sheetFormatPr defaultRowHeight="14.5" x14ac:dyDescent="0.35"/>
  <cols>
    <col min="1" max="1" width="14.453125" bestFit="1" customWidth="1"/>
    <col min="2" max="2" width="13.81640625" customWidth="1"/>
    <col min="3" max="3" width="19" bestFit="1" customWidth="1"/>
    <col min="4" max="4" width="20.81640625" bestFit="1" customWidth="1"/>
    <col min="5" max="5" width="12.453125" bestFit="1" customWidth="1"/>
    <col min="6" max="6" width="16.7265625" bestFit="1" customWidth="1"/>
  </cols>
  <sheetData>
    <row r="1" spans="1:10" x14ac:dyDescent="0.35">
      <c r="A1" t="s">
        <v>36</v>
      </c>
    </row>
    <row r="2" spans="1:10" x14ac:dyDescent="0.35">
      <c r="A2" t="s">
        <v>0</v>
      </c>
      <c r="B2" s="7">
        <v>100048266</v>
      </c>
    </row>
    <row r="3" spans="1:10" x14ac:dyDescent="0.35">
      <c r="A3" t="s">
        <v>14</v>
      </c>
      <c r="B3" s="1" t="s">
        <v>13</v>
      </c>
    </row>
    <row r="4" spans="1:10" x14ac:dyDescent="0.35">
      <c r="A4" t="s">
        <v>1</v>
      </c>
      <c r="B4" t="s">
        <v>30</v>
      </c>
    </row>
    <row r="6" spans="1:10" x14ac:dyDescent="0.35">
      <c r="A6" s="6" t="s">
        <v>2</v>
      </c>
    </row>
    <row r="7" spans="1:10" x14ac:dyDescent="0.35">
      <c r="A7" s="1" t="s">
        <v>3</v>
      </c>
      <c r="B7" s="1" t="s">
        <v>11</v>
      </c>
      <c r="C7" s="1" t="s">
        <v>12</v>
      </c>
      <c r="D7" s="1" t="s">
        <v>31</v>
      </c>
      <c r="E7" s="1" t="s">
        <v>4</v>
      </c>
      <c r="F7" s="1" t="s">
        <v>5</v>
      </c>
    </row>
    <row r="8" spans="1:10" x14ac:dyDescent="0.35">
      <c r="A8" t="s">
        <v>10</v>
      </c>
      <c r="B8">
        <v>1</v>
      </c>
      <c r="C8">
        <v>2</v>
      </c>
      <c r="D8">
        <v>2</v>
      </c>
      <c r="E8" s="4">
        <f>(((C8-B8)-(D8-B8))/(C8-B8))*100</f>
        <v>0</v>
      </c>
      <c r="F8" s="2">
        <f>1-(E8/100)</f>
        <v>1</v>
      </c>
    </row>
    <row r="9" spans="1:10" x14ac:dyDescent="0.35">
      <c r="A9" s="1"/>
    </row>
    <row r="10" spans="1:10" x14ac:dyDescent="0.35">
      <c r="A10" s="1" t="s">
        <v>6</v>
      </c>
      <c r="B10" t="s">
        <v>35</v>
      </c>
    </row>
    <row r="11" spans="1:10" ht="16.5" x14ac:dyDescent="0.45">
      <c r="A11" s="1" t="s">
        <v>3</v>
      </c>
      <c r="B11" s="1" t="s">
        <v>7</v>
      </c>
      <c r="C11" s="1" t="s">
        <v>8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</row>
    <row r="12" spans="1:10" x14ac:dyDescent="0.35">
      <c r="A12" t="s">
        <v>15</v>
      </c>
      <c r="B12">
        <v>0.20710000000000001</v>
      </c>
      <c r="C12">
        <v>250</v>
      </c>
      <c r="J12" s="8"/>
    </row>
    <row r="13" spans="1:10" x14ac:dyDescent="0.35">
      <c r="A13" t="s">
        <v>16</v>
      </c>
    </row>
    <row r="14" spans="1:10" x14ac:dyDescent="0.35">
      <c r="A14" t="s">
        <v>17</v>
      </c>
    </row>
    <row r="15" spans="1:10" x14ac:dyDescent="0.35">
      <c r="A15" s="1"/>
    </row>
    <row r="16" spans="1:10" x14ac:dyDescent="0.35">
      <c r="A16" s="1" t="s">
        <v>3</v>
      </c>
      <c r="B16" s="1" t="s">
        <v>9</v>
      </c>
      <c r="C16" s="1" t="s">
        <v>28</v>
      </c>
      <c r="D16" s="1" t="s">
        <v>27</v>
      </c>
      <c r="E16" s="5" t="s">
        <v>26</v>
      </c>
      <c r="F16" s="1" t="s">
        <v>29</v>
      </c>
    </row>
    <row r="17" spans="1:6" x14ac:dyDescent="0.35">
      <c r="A17" t="s">
        <v>15</v>
      </c>
      <c r="B17" t="str">
        <f>"25/10"</f>
        <v>25/10</v>
      </c>
      <c r="C17">
        <v>2.444</v>
      </c>
      <c r="D17" s="4">
        <f>((C17*C12)*(LEFT(B17,FIND("/",B17)-1)/RIGHT(B17,LEN(B17)-FIND("/",B17)))/(B12*10^4))</f>
        <v>0.73756639304683724</v>
      </c>
      <c r="E17" s="3">
        <v>2.1389999999999998</v>
      </c>
      <c r="F17" s="4">
        <f>(D17*E17)/$F$8</f>
        <v>1.5776545147271848</v>
      </c>
    </row>
    <row r="18" spans="1:6" x14ac:dyDescent="0.35">
      <c r="A18" t="s">
        <v>16</v>
      </c>
      <c r="B18" t="str">
        <f t="shared" ref="B18:B19" si="0">"1/1"</f>
        <v>1/1</v>
      </c>
      <c r="D18" s="4" t="e">
        <f t="shared" ref="D18:D19" si="1">((C18*C13)*(LEFT(B18,FIND("/",B18)-1)/RIGHT(B18,LEN(B18)-FIND("/",B18)))/(B13*10^4))</f>
        <v>#DIV/0!</v>
      </c>
      <c r="E18" s="3"/>
      <c r="F18" s="4" t="e">
        <f t="shared" ref="F18:F19" si="2">(D18*E18)/$F$8</f>
        <v>#DIV/0!</v>
      </c>
    </row>
    <row r="19" spans="1:6" x14ac:dyDescent="0.35">
      <c r="A19" t="s">
        <v>17</v>
      </c>
      <c r="B19" t="str">
        <f t="shared" si="0"/>
        <v>1/1</v>
      </c>
      <c r="D19" s="4" t="e">
        <f t="shared" si="1"/>
        <v>#DIV/0!</v>
      </c>
      <c r="E19" s="3"/>
      <c r="F19" s="4" t="e">
        <f t="shared" si="2"/>
        <v>#DIV/0!</v>
      </c>
    </row>
    <row r="20" spans="1:6" x14ac:dyDescent="0.35">
      <c r="F20" s="4" t="e">
        <f>AVERAGE(F17:F19)</f>
        <v>#DIV/0!</v>
      </c>
    </row>
    <row r="22" spans="1:6" x14ac:dyDescent="0.35">
      <c r="A22" s="9" t="s">
        <v>25</v>
      </c>
    </row>
    <row r="26" spans="1:6" x14ac:dyDescent="0.35">
      <c r="E26" s="6"/>
    </row>
    <row r="30" spans="1:6" x14ac:dyDescent="0.35">
      <c r="A30" s="14" t="s">
        <v>32</v>
      </c>
    </row>
    <row r="31" spans="1:6" ht="29" x14ac:dyDescent="0.35">
      <c r="A31" s="14" t="s">
        <v>33</v>
      </c>
    </row>
    <row r="32" spans="1:6" ht="43.5" x14ac:dyDescent="0.35">
      <c r="A32" s="14" t="s">
        <v>34</v>
      </c>
    </row>
    <row r="33" spans="1:1" x14ac:dyDescent="0.35">
      <c r="A33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</vt:lpstr>
      <vt:lpstr>ppm</vt:lpstr>
      <vt:lpstr>%M</vt:lpstr>
      <vt:lpstr>%MO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2026-03-12T19:50:23Z</dcterms:created>
  <dcterms:modified xsi:type="dcterms:W3CDTF">2026-04-07T01:19:53Z</dcterms:modified>
</cp:coreProperties>
</file>