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bmissions/"/>
    </mc:Choice>
  </mc:AlternateContent>
  <xr:revisionPtr revIDLastSave="291" documentId="8_{4E0B6646-4847-45BA-BA92-B95A15511CC6}" xr6:coauthVersionLast="47" xr6:coauthVersionMax="47" xr10:uidLastSave="{706DDCE0-2962-48DA-8DAA-7D70B5262782}"/>
  <bookViews>
    <workbookView xWindow="29700" yWindow="1860" windowWidth="21600" windowHeight="11295" xr2:uid="{54A9AB2B-D91E-4318-8A9F-49DDFB101279}"/>
  </bookViews>
  <sheets>
    <sheet name="ppm" sheetId="1" r:id="rId1"/>
    <sheet name="%M" sheetId="2" r:id="rId2"/>
    <sheet name="%M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D16" i="1" s="1"/>
  <c r="E16" i="1" s="1"/>
  <c r="B17" i="1"/>
  <c r="B18" i="1"/>
  <c r="D18" i="1"/>
  <c r="E18" i="1"/>
  <c r="E17" i="3"/>
  <c r="E18" i="3"/>
  <c r="E16" i="3"/>
  <c r="B18" i="3"/>
  <c r="D18" i="3" s="1"/>
  <c r="B17" i="3"/>
  <c r="D17" i="3" s="1"/>
  <c r="B16" i="3"/>
  <c r="D16" i="3" s="1"/>
  <c r="E7" i="3"/>
  <c r="F7" i="3" s="1"/>
  <c r="F17" i="3" s="1"/>
  <c r="D17" i="2"/>
  <c r="D18" i="2"/>
  <c r="D16" i="2"/>
  <c r="B17" i="2"/>
  <c r="B18" i="2"/>
  <c r="B16" i="2"/>
  <c r="F7" i="2"/>
  <c r="E7" i="2"/>
  <c r="E17" i="1"/>
  <c r="D17" i="1"/>
  <c r="E7" i="1"/>
  <c r="F7" i="1" s="1"/>
  <c r="E19" i="1" l="1"/>
  <c r="F16" i="3"/>
  <c r="F18" i="3"/>
  <c r="E16" i="2"/>
  <c r="E18" i="2"/>
  <c r="E17" i="2"/>
</calcChain>
</file>

<file path=xl/sharedStrings.xml><?xml version="1.0" encoding="utf-8"?>
<sst xmlns="http://schemas.openxmlformats.org/spreadsheetml/2006/main" count="115" uniqueCount="42">
  <si>
    <t>Submission ID:</t>
  </si>
  <si>
    <t>Analysis:</t>
  </si>
  <si>
    <t>LOI</t>
  </si>
  <si>
    <t>sample</t>
  </si>
  <si>
    <t>LOI (%)</t>
  </si>
  <si>
    <t>correction</t>
  </si>
  <si>
    <t>prep</t>
  </si>
  <si>
    <t>weight (g)</t>
  </si>
  <si>
    <t>volume (mL)</t>
  </si>
  <si>
    <t>dilution</t>
  </si>
  <si>
    <t>conc. [mg/L]</t>
  </si>
  <si>
    <t>2-127169</t>
  </si>
  <si>
    <t>crucible (g)</t>
  </si>
  <si>
    <t>crucible+sample (g)</t>
  </si>
  <si>
    <t>weight after drying (g)</t>
  </si>
  <si>
    <t>LF448PS-23-2855</t>
  </si>
  <si>
    <t>Agilent OES</t>
  </si>
  <si>
    <t>Project #:</t>
  </si>
  <si>
    <t>2-127169_1</t>
  </si>
  <si>
    <t>2-127169_2</t>
  </si>
  <si>
    <t>2-127169_3</t>
  </si>
  <si>
    <t>Time (min)</t>
  </si>
  <si>
    <t>Power (W)</t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</si>
  <si>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</si>
  <si>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</rPr>
      <t>°C</t>
    </r>
    <r>
      <rPr>
        <b/>
        <sz val="11"/>
        <color theme="1"/>
        <rFont val="Aptos Narrow"/>
        <family val="2"/>
        <scheme val="minor"/>
      </rPr>
      <t>)</t>
    </r>
  </si>
  <si>
    <t>P (bar)</t>
  </si>
  <si>
    <t>vial</t>
  </si>
  <si>
    <t>stir</t>
  </si>
  <si>
    <t>PTFE</t>
  </si>
  <si>
    <t>Manufacturer: Assurance, Pt lot: 28-2PTY exp: 2026-03-30</t>
  </si>
  <si>
    <t>{Microwave: 9 mL HCl, 3 mL HNO3, 6 mL H2SO4, filter}</t>
  </si>
  <si>
    <r>
      <t>[</t>
    </r>
    <r>
      <rPr>
        <b/>
        <i/>
        <sz val="11"/>
        <color theme="1"/>
        <rFont val="Aptos Narrow"/>
        <family val="2"/>
        <scheme val="minor"/>
      </rPr>
      <t>%M</t>
    </r>
    <r>
      <rPr>
        <b/>
        <sz val="11"/>
        <color theme="1"/>
        <rFont val="Aptos Narrow"/>
        <family val="2"/>
        <scheme val="minor"/>
      </rPr>
      <t>]</t>
    </r>
  </si>
  <si>
    <r>
      <t>[dried][</t>
    </r>
    <r>
      <rPr>
        <b/>
        <i/>
        <sz val="11"/>
        <color theme="1"/>
        <rFont val="Aptos Narrow"/>
        <family val="2"/>
        <scheme val="minor"/>
      </rPr>
      <t>%M</t>
    </r>
    <r>
      <rPr>
        <b/>
        <sz val="11"/>
        <color theme="1"/>
        <rFont val="Aptos Narrow"/>
        <family val="2"/>
        <scheme val="minor"/>
      </rPr>
      <t>]</t>
    </r>
  </si>
  <si>
    <r>
      <t>[dried][</t>
    </r>
    <r>
      <rPr>
        <b/>
        <i/>
        <sz val="11"/>
        <color theme="1"/>
        <rFont val="Aptos Narrow"/>
        <family val="2"/>
        <scheme val="minor"/>
      </rPr>
      <t>%MO</t>
    </r>
    <r>
      <rPr>
        <b/>
        <sz val="11"/>
        <color theme="1"/>
        <rFont val="Aptos Narrow"/>
        <family val="2"/>
        <scheme val="minor"/>
      </rPr>
      <t>]</t>
    </r>
  </si>
  <si>
    <t>[MO/M]</t>
  </si>
  <si>
    <t>raw ICP</t>
  </si>
  <si>
    <t>Pt [mg/L]</t>
  </si>
  <si>
    <r>
      <rPr>
        <b/>
        <i/>
        <sz val="11"/>
        <color theme="1"/>
        <rFont val="Aptos Narrow"/>
        <family val="2"/>
        <scheme val="minor"/>
      </rPr>
      <t>Pt</t>
    </r>
    <r>
      <rPr>
        <b/>
        <sz val="11"/>
        <color theme="1"/>
        <rFont val="Aptos Narrow"/>
        <family val="2"/>
        <scheme val="minor"/>
      </rPr>
      <t xml:space="preserve"> [ppm]</t>
    </r>
  </si>
  <si>
    <t>Pt [ppm][dried]</t>
  </si>
  <si>
    <t>Agilent ICP Pt ppm</t>
  </si>
  <si>
    <t>Manufacturer: Assurance, Co lot: 28-73COY exp: 2026-10-30</t>
  </si>
  <si>
    <t>Agilent ICP %Co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</si>
</sst>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  <scheme val="minor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9" fontId="0" fillId="0" borderId="0" xfId="0" applyNumberFormat="1"/>
    <xf numFmtId="0" fontId="7" fillId="0" borderId="0" xfId="0" applyFont="1" applyAlignment="1">
      <alignment vertical="center"/>
    </xf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DD05-37BA-4966-A263-616DE3FED767}">
  <dimension ref="A1:J21"/>
  <sheetViews>
    <sheetView tabSelected="1" topLeftCell="A4" workbookViewId="0">
      <selection activeCell="B17" sqref="B17"/>
    </sheetView>
  </sheetViews>
  <sheetFormatPr defaultRowHeight="15" x14ac:dyDescent="0.25"/>
  <cols>
    <col min="1" max="1" width="14.42578125" bestFit="1" customWidth="1"/>
    <col min="2" max="2" width="11.140625" bestFit="1" customWidth="1"/>
    <col min="3" max="3" width="19" bestFit="1" customWidth="1"/>
    <col min="4" max="4" width="20.85546875" bestFit="1" customWidth="1"/>
    <col min="5" max="5" width="15" bestFit="1" customWidth="1"/>
    <col min="6" max="6" width="10.5703125" bestFit="1" customWidth="1"/>
  </cols>
  <sheetData>
    <row r="1" spans="1:10" x14ac:dyDescent="0.25">
      <c r="A1" t="s">
        <v>0</v>
      </c>
      <c r="B1" s="7">
        <v>100048266</v>
      </c>
    </row>
    <row r="2" spans="1:10" x14ac:dyDescent="0.25">
      <c r="A2" t="s">
        <v>17</v>
      </c>
      <c r="B2" s="1" t="s">
        <v>15</v>
      </c>
    </row>
    <row r="3" spans="1:10" x14ac:dyDescent="0.25">
      <c r="A3" t="s">
        <v>1</v>
      </c>
      <c r="B3" t="s">
        <v>39</v>
      </c>
    </row>
    <row r="5" spans="1:10" x14ac:dyDescent="0.25">
      <c r="A5" s="6" t="s">
        <v>2</v>
      </c>
    </row>
    <row r="6" spans="1:10" x14ac:dyDescent="0.25">
      <c r="A6" s="10" t="s">
        <v>3</v>
      </c>
      <c r="B6" s="10" t="s">
        <v>12</v>
      </c>
      <c r="C6" s="10" t="s">
        <v>13</v>
      </c>
      <c r="D6" s="10" t="s">
        <v>14</v>
      </c>
      <c r="E6" s="10" t="s">
        <v>4</v>
      </c>
      <c r="F6" s="10" t="s">
        <v>5</v>
      </c>
    </row>
    <row r="7" spans="1:10" x14ac:dyDescent="0.25">
      <c r="A7" s="11" t="s">
        <v>11</v>
      </c>
      <c r="B7" s="11">
        <v>23.3443</v>
      </c>
      <c r="C7" s="11">
        <v>25.367100000000001</v>
      </c>
      <c r="D7" s="11">
        <v>25.2653</v>
      </c>
      <c r="E7" s="12">
        <f>(((C7-B7)-(D7-B7))/(C7-B7))*100</f>
        <v>5.0326280403401604</v>
      </c>
      <c r="F7" s="13">
        <f>1-(E7/100)</f>
        <v>0.94967371959659841</v>
      </c>
    </row>
    <row r="8" spans="1:10" x14ac:dyDescent="0.25">
      <c r="A8" s="1"/>
    </row>
    <row r="9" spans="1:10" x14ac:dyDescent="0.25">
      <c r="A9" s="1" t="s">
        <v>6</v>
      </c>
      <c r="B9" t="s">
        <v>30</v>
      </c>
    </row>
    <row r="10" spans="1:10" ht="18" x14ac:dyDescent="0.35">
      <c r="A10" s="10" t="s">
        <v>3</v>
      </c>
      <c r="B10" s="10" t="s">
        <v>7</v>
      </c>
      <c r="C10" s="10" t="s">
        <v>8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</row>
    <row r="11" spans="1:10" x14ac:dyDescent="0.25">
      <c r="A11" t="s">
        <v>18</v>
      </c>
      <c r="B11">
        <v>0.50160000000000005</v>
      </c>
      <c r="C11">
        <v>100</v>
      </c>
      <c r="D11">
        <v>45</v>
      </c>
      <c r="E11">
        <v>1500</v>
      </c>
      <c r="F11">
        <v>240</v>
      </c>
      <c r="G11">
        <v>65</v>
      </c>
      <c r="H11">
        <v>110</v>
      </c>
      <c r="I11" t="s">
        <v>28</v>
      </c>
      <c r="J11" s="8">
        <v>0.9</v>
      </c>
    </row>
    <row r="12" spans="1:10" x14ac:dyDescent="0.25">
      <c r="A12" t="s">
        <v>19</v>
      </c>
      <c r="B12">
        <v>0.51160000000000005</v>
      </c>
      <c r="C12">
        <v>100</v>
      </c>
    </row>
    <row r="13" spans="1:10" x14ac:dyDescent="0.25">
      <c r="A13" t="s">
        <v>20</v>
      </c>
      <c r="B13">
        <v>0.50449999999999995</v>
      </c>
      <c r="C13">
        <v>100</v>
      </c>
    </row>
    <row r="14" spans="1:10" x14ac:dyDescent="0.25">
      <c r="A14" s="1"/>
    </row>
    <row r="15" spans="1:10" x14ac:dyDescent="0.25">
      <c r="A15" s="10" t="s">
        <v>3</v>
      </c>
      <c r="B15" s="10" t="s">
        <v>9</v>
      </c>
      <c r="C15" s="10" t="s">
        <v>36</v>
      </c>
      <c r="D15" s="10" t="s">
        <v>37</v>
      </c>
      <c r="E15" s="10" t="s">
        <v>38</v>
      </c>
      <c r="F15" s="1"/>
    </row>
    <row r="16" spans="1:10" x14ac:dyDescent="0.25">
      <c r="A16" t="s">
        <v>18</v>
      </c>
      <c r="B16" s="14" t="str">
        <f>"10/7"</f>
        <v>10/7</v>
      </c>
      <c r="C16">
        <v>0.56599999999999995</v>
      </c>
      <c r="D16" s="4">
        <f>(C16*C11*B16)/B11</f>
        <v>5224667.4641148318</v>
      </c>
      <c r="E16" s="4">
        <f>D16/$F$7</f>
        <v>5501539.4827753697</v>
      </c>
    </row>
    <row r="17" spans="1:5" x14ac:dyDescent="0.25">
      <c r="A17" t="s">
        <v>19</v>
      </c>
      <c r="B17">
        <f>10/9</f>
        <v>1.1111111111111112</v>
      </c>
      <c r="C17">
        <v>0.95599999999999996</v>
      </c>
      <c r="D17" s="4">
        <f t="shared" ref="D17:D18" si="0">(C17*C12*B17)/B12</f>
        <v>207.62748675180259</v>
      </c>
      <c r="E17" s="4">
        <f t="shared" ref="E17:E18" si="1">D17/$F$7</f>
        <v>218.63033847035214</v>
      </c>
    </row>
    <row r="18" spans="1:5" x14ac:dyDescent="0.25">
      <c r="A18" t="s">
        <v>20</v>
      </c>
      <c r="B18">
        <f>10/9</f>
        <v>1.1111111111111112</v>
      </c>
      <c r="C18">
        <v>0.89500000000000002</v>
      </c>
      <c r="D18" s="4">
        <f t="shared" si="0"/>
        <v>197.11485519215947</v>
      </c>
      <c r="E18" s="4">
        <f t="shared" si="1"/>
        <v>207.56060858027087</v>
      </c>
    </row>
    <row r="19" spans="1:5" x14ac:dyDescent="0.25">
      <c r="E19">
        <f>AVERAGE(E16:E18)</f>
        <v>1833988.5579074735</v>
      </c>
    </row>
    <row r="21" spans="1:5" x14ac:dyDescent="0.25">
      <c r="A21" s="9" t="s">
        <v>29</v>
      </c>
    </row>
  </sheetData>
  <phoneticPr fontId="4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0290-B2B0-46CC-B3FE-9F7A3D7B3157}">
  <dimension ref="A1:J21"/>
  <sheetViews>
    <sheetView workbookViewId="0">
      <selection activeCell="B16" sqref="B16"/>
    </sheetView>
  </sheetViews>
  <sheetFormatPr defaultRowHeight="15" x14ac:dyDescent="0.25"/>
  <cols>
    <col min="1" max="1" width="14.42578125" bestFit="1" customWidth="1"/>
    <col min="2" max="2" width="11.140625" customWidth="1"/>
    <col min="3" max="3" width="19" bestFit="1" customWidth="1"/>
    <col min="4" max="4" width="20.85546875" bestFit="1" customWidth="1"/>
    <col min="5" max="5" width="12.5703125" bestFit="1" customWidth="1"/>
    <col min="6" max="6" width="10.28515625" bestFit="1" customWidth="1"/>
  </cols>
  <sheetData>
    <row r="1" spans="1:10" x14ac:dyDescent="0.25">
      <c r="A1" t="s">
        <v>0</v>
      </c>
      <c r="B1" s="7">
        <v>100048266</v>
      </c>
    </row>
    <row r="2" spans="1:10" x14ac:dyDescent="0.25">
      <c r="A2" t="s">
        <v>17</v>
      </c>
      <c r="B2" s="1" t="s">
        <v>15</v>
      </c>
    </row>
    <row r="3" spans="1:10" x14ac:dyDescent="0.25">
      <c r="A3" t="s">
        <v>1</v>
      </c>
      <c r="B3" t="s">
        <v>41</v>
      </c>
    </row>
    <row r="5" spans="1:10" x14ac:dyDescent="0.25">
      <c r="A5" s="6" t="s">
        <v>2</v>
      </c>
    </row>
    <row r="6" spans="1:10" x14ac:dyDescent="0.25">
      <c r="A6" s="10" t="s">
        <v>3</v>
      </c>
      <c r="B6" s="10" t="s">
        <v>12</v>
      </c>
      <c r="C6" s="10" t="s">
        <v>13</v>
      </c>
      <c r="D6" s="10" t="s">
        <v>14</v>
      </c>
      <c r="E6" s="10" t="s">
        <v>4</v>
      </c>
      <c r="F6" s="10" t="s">
        <v>5</v>
      </c>
    </row>
    <row r="7" spans="1:10" x14ac:dyDescent="0.25">
      <c r="A7" s="11" t="s">
        <v>11</v>
      </c>
      <c r="B7" s="11">
        <v>23.3443</v>
      </c>
      <c r="C7" s="11">
        <v>25.367100000000001</v>
      </c>
      <c r="D7" s="11">
        <v>25.2653</v>
      </c>
      <c r="E7" s="12">
        <f>(((C7-B7)-(D7-B7))/(C7-B7))*100</f>
        <v>5.0326280403401604</v>
      </c>
      <c r="F7" s="13">
        <f>1-(E7/100)</f>
        <v>0.94967371959659841</v>
      </c>
    </row>
    <row r="8" spans="1:10" x14ac:dyDescent="0.25">
      <c r="A8" s="1"/>
    </row>
    <row r="9" spans="1:10" x14ac:dyDescent="0.25">
      <c r="A9" s="1" t="s">
        <v>6</v>
      </c>
      <c r="B9" t="s">
        <v>30</v>
      </c>
    </row>
    <row r="10" spans="1:10" ht="18" x14ac:dyDescent="0.35">
      <c r="A10" s="10" t="s">
        <v>3</v>
      </c>
      <c r="B10" s="10" t="s">
        <v>7</v>
      </c>
      <c r="C10" s="10" t="s">
        <v>8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</row>
    <row r="11" spans="1:10" x14ac:dyDescent="0.25">
      <c r="A11" t="s">
        <v>18</v>
      </c>
      <c r="B11">
        <v>0.50160000000000005</v>
      </c>
      <c r="C11">
        <v>100</v>
      </c>
      <c r="D11">
        <v>45</v>
      </c>
      <c r="E11">
        <v>1500</v>
      </c>
      <c r="F11">
        <v>240</v>
      </c>
      <c r="G11">
        <v>65</v>
      </c>
      <c r="H11">
        <v>110</v>
      </c>
      <c r="I11" t="s">
        <v>28</v>
      </c>
      <c r="J11" s="8">
        <v>0.9</v>
      </c>
    </row>
    <row r="12" spans="1:10" x14ac:dyDescent="0.25">
      <c r="A12" t="s">
        <v>19</v>
      </c>
      <c r="B12">
        <v>0.51160000000000005</v>
      </c>
      <c r="C12">
        <v>100</v>
      </c>
    </row>
    <row r="13" spans="1:10" x14ac:dyDescent="0.25">
      <c r="A13" t="s">
        <v>20</v>
      </c>
      <c r="B13">
        <v>0.50449999999999995</v>
      </c>
      <c r="C13">
        <v>100</v>
      </c>
    </row>
    <row r="14" spans="1:10" x14ac:dyDescent="0.25">
      <c r="A14" s="1"/>
    </row>
    <row r="15" spans="1:10" x14ac:dyDescent="0.25">
      <c r="A15" s="1" t="s">
        <v>3</v>
      </c>
      <c r="B15" s="1" t="s">
        <v>9</v>
      </c>
      <c r="C15" s="1" t="s">
        <v>10</v>
      </c>
      <c r="D15" s="1" t="s">
        <v>31</v>
      </c>
      <c r="E15" s="1" t="s">
        <v>32</v>
      </c>
      <c r="F15" s="1"/>
    </row>
    <row r="16" spans="1:10" x14ac:dyDescent="0.25">
      <c r="A16" t="s">
        <v>18</v>
      </c>
      <c r="B16">
        <f>100/0.4</f>
        <v>250</v>
      </c>
      <c r="C16">
        <v>2.2349999999999999</v>
      </c>
      <c r="D16" s="4">
        <f>(C16*C11*B16)/(B11*10^4)</f>
        <v>11.139354066985645</v>
      </c>
      <c r="E16" s="4">
        <f>D16/$F$7</f>
        <v>11.729664449088272</v>
      </c>
    </row>
    <row r="17" spans="1:5" x14ac:dyDescent="0.25">
      <c r="A17" t="s">
        <v>19</v>
      </c>
      <c r="B17">
        <f t="shared" ref="B17:B18" si="0">100/0.4</f>
        <v>250</v>
      </c>
      <c r="C17">
        <v>2.2879999999999998</v>
      </c>
      <c r="D17" s="4">
        <f t="shared" ref="D17:D18" si="1">(C17*C12*B17)/(B12*10^4)</f>
        <v>11.180609851446439</v>
      </c>
      <c r="E17" s="4">
        <f t="shared" ref="E17:E18" si="2">D17/$F$7</f>
        <v>11.773106510934859</v>
      </c>
    </row>
    <row r="18" spans="1:5" x14ac:dyDescent="0.25">
      <c r="A18" t="s">
        <v>20</v>
      </c>
      <c r="B18">
        <f t="shared" si="0"/>
        <v>250</v>
      </c>
      <c r="C18">
        <v>2.2040000000000002</v>
      </c>
      <c r="D18" s="4">
        <f t="shared" si="1"/>
        <v>10.921704658077307</v>
      </c>
      <c r="E18" s="4">
        <f t="shared" si="2"/>
        <v>11.50048109440853</v>
      </c>
    </row>
    <row r="21" spans="1:5" x14ac:dyDescent="0.25">
      <c r="A21" s="9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B32A-91A7-497E-995B-8FCDA2DD2D33}">
  <dimension ref="A1:J25"/>
  <sheetViews>
    <sheetView workbookViewId="0">
      <selection activeCell="C15" sqref="C15"/>
    </sheetView>
  </sheetViews>
  <sheetFormatPr defaultRowHeight="15" x14ac:dyDescent="0.25"/>
  <cols>
    <col min="1" max="1" width="14.42578125" bestFit="1" customWidth="1"/>
    <col min="2" max="2" width="13.85546875" customWidth="1"/>
    <col min="3" max="3" width="19" bestFit="1" customWidth="1"/>
    <col min="4" max="4" width="20.85546875" bestFit="1" customWidth="1"/>
    <col min="5" max="5" width="10.28515625" bestFit="1" customWidth="1"/>
    <col min="6" max="6" width="13.85546875" bestFit="1" customWidth="1"/>
  </cols>
  <sheetData>
    <row r="1" spans="1:10" x14ac:dyDescent="0.25">
      <c r="A1" t="s">
        <v>0</v>
      </c>
      <c r="B1" s="7">
        <v>100048266</v>
      </c>
    </row>
    <row r="2" spans="1:10" x14ac:dyDescent="0.25">
      <c r="A2" t="s">
        <v>17</v>
      </c>
      <c r="B2" s="1" t="s">
        <v>15</v>
      </c>
    </row>
    <row r="3" spans="1:10" x14ac:dyDescent="0.25">
      <c r="A3" t="s">
        <v>1</v>
      </c>
      <c r="B3" t="s">
        <v>16</v>
      </c>
    </row>
    <row r="5" spans="1:10" x14ac:dyDescent="0.25">
      <c r="A5" s="6" t="s">
        <v>2</v>
      </c>
    </row>
    <row r="6" spans="1:10" x14ac:dyDescent="0.25">
      <c r="A6" s="1" t="s">
        <v>3</v>
      </c>
      <c r="B6" s="1" t="s">
        <v>12</v>
      </c>
      <c r="C6" s="1" t="s">
        <v>13</v>
      </c>
      <c r="D6" s="1" t="s">
        <v>14</v>
      </c>
      <c r="E6" s="1" t="s">
        <v>4</v>
      </c>
      <c r="F6" s="1" t="s">
        <v>5</v>
      </c>
    </row>
    <row r="7" spans="1:10" x14ac:dyDescent="0.25">
      <c r="A7" t="s">
        <v>11</v>
      </c>
      <c r="B7">
        <v>1</v>
      </c>
      <c r="C7">
        <v>2</v>
      </c>
      <c r="D7">
        <v>2</v>
      </c>
      <c r="E7" s="4">
        <f>(((C7-B7)-(D7-B7))/(C7-B7))*100</f>
        <v>0</v>
      </c>
      <c r="F7" s="2">
        <f>1-(E7/100)</f>
        <v>1</v>
      </c>
    </row>
    <row r="8" spans="1:10" x14ac:dyDescent="0.25">
      <c r="A8" s="1"/>
    </row>
    <row r="9" spans="1:10" x14ac:dyDescent="0.25">
      <c r="A9" s="1" t="s">
        <v>6</v>
      </c>
      <c r="B9" t="s">
        <v>30</v>
      </c>
    </row>
    <row r="10" spans="1:10" ht="18" x14ac:dyDescent="0.35">
      <c r="A10" s="1" t="s">
        <v>3</v>
      </c>
      <c r="B10" s="1" t="s">
        <v>7</v>
      </c>
      <c r="C10" s="1" t="s">
        <v>8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</row>
    <row r="11" spans="1:10" x14ac:dyDescent="0.25">
      <c r="A11" t="s">
        <v>18</v>
      </c>
      <c r="B11">
        <v>0.50160000000000005</v>
      </c>
      <c r="C11">
        <v>100</v>
      </c>
      <c r="D11">
        <v>45</v>
      </c>
      <c r="E11">
        <v>1500</v>
      </c>
      <c r="F11">
        <v>240</v>
      </c>
      <c r="G11">
        <v>65</v>
      </c>
      <c r="H11">
        <v>110</v>
      </c>
      <c r="I11" t="s">
        <v>28</v>
      </c>
      <c r="J11" s="8">
        <v>0.9</v>
      </c>
    </row>
    <row r="12" spans="1:10" x14ac:dyDescent="0.25">
      <c r="A12" t="s">
        <v>19</v>
      </c>
      <c r="B12">
        <v>0.51160000000000005</v>
      </c>
      <c r="C12">
        <v>100</v>
      </c>
    </row>
    <row r="13" spans="1:10" x14ac:dyDescent="0.25">
      <c r="A13" t="s">
        <v>20</v>
      </c>
      <c r="B13">
        <v>0.50449999999999995</v>
      </c>
      <c r="C13">
        <v>100</v>
      </c>
    </row>
    <row r="14" spans="1:10" x14ac:dyDescent="0.25">
      <c r="A14" s="1"/>
    </row>
    <row r="15" spans="1:10" x14ac:dyDescent="0.25">
      <c r="A15" s="1" t="s">
        <v>3</v>
      </c>
      <c r="B15" s="1" t="s">
        <v>9</v>
      </c>
      <c r="C15" s="1" t="s">
        <v>35</v>
      </c>
      <c r="D15" s="1" t="s">
        <v>31</v>
      </c>
      <c r="E15" s="5" t="s">
        <v>34</v>
      </c>
      <c r="F15" s="1" t="s">
        <v>33</v>
      </c>
    </row>
    <row r="16" spans="1:10" x14ac:dyDescent="0.25">
      <c r="A16" t="s">
        <v>18</v>
      </c>
      <c r="B16">
        <f>100/0.4</f>
        <v>250</v>
      </c>
      <c r="C16">
        <v>2.2349999999999999</v>
      </c>
      <c r="D16" s="4">
        <f>(C16*C11*B16)/(B11*10^4)</f>
        <v>11.139354066985645</v>
      </c>
      <c r="E16" s="3">
        <f>1.362</f>
        <v>1.3620000000000001</v>
      </c>
      <c r="F16" s="4">
        <f>(D16*E16)/$F$7</f>
        <v>15.171800239234448</v>
      </c>
    </row>
    <row r="17" spans="1:6" x14ac:dyDescent="0.25">
      <c r="A17" t="s">
        <v>19</v>
      </c>
      <c r="B17">
        <f t="shared" ref="B17:B18" si="0">100/0.4</f>
        <v>250</v>
      </c>
      <c r="C17">
        <v>2.2879999999999998</v>
      </c>
      <c r="D17" s="4">
        <f t="shared" ref="D17:D18" si="1">(C17*C12*B17)/(B12*10^4)</f>
        <v>11.180609851446439</v>
      </c>
      <c r="E17" s="3">
        <f t="shared" ref="E17:E18" si="2">1.362</f>
        <v>1.3620000000000001</v>
      </c>
      <c r="F17" s="4">
        <f t="shared" ref="F17:F18" si="3">(D17*E17)/$F$7</f>
        <v>15.22799061767005</v>
      </c>
    </row>
    <row r="18" spans="1:6" x14ac:dyDescent="0.25">
      <c r="A18" t="s">
        <v>20</v>
      </c>
      <c r="B18">
        <f t="shared" si="0"/>
        <v>250</v>
      </c>
      <c r="C18">
        <v>2.2040000000000002</v>
      </c>
      <c r="D18" s="4">
        <f t="shared" si="1"/>
        <v>10.921704658077307</v>
      </c>
      <c r="E18" s="3">
        <f t="shared" si="2"/>
        <v>1.3620000000000001</v>
      </c>
      <c r="F18" s="4">
        <f t="shared" si="3"/>
        <v>14.875361744301292</v>
      </c>
    </row>
    <row r="21" spans="1:6" x14ac:dyDescent="0.25">
      <c r="A21" s="9" t="s">
        <v>29</v>
      </c>
    </row>
    <row r="25" spans="1:6" x14ac:dyDescent="0.25">
      <c r="E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ppm</vt:lpstr>
      <vt:lpstr>%M</vt:lpstr>
      <vt:lpstr>%MO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2026-03-12T19:50:23Z</dcterms:created>
  <dcterms:modified xsi:type="dcterms:W3CDTF">2026-03-13T14:54:13Z</dcterms:modified>
</cp:coreProperties>
</file>