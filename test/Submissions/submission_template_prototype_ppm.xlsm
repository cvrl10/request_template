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clariant-my.sharepoint.com/personal/carl_archemetre_clariant_com/Documents/Submissions/"/>
    </mc:Choice>
  </mc:AlternateContent>
  <xr:revisionPtr revIDLastSave="36" documentId="8_{36E065AB-C5AC-4670-B415-3AABB8C57F9C}" xr6:coauthVersionLast="47" xr6:coauthVersionMax="47" xr10:uidLastSave="{BDF95829-929A-49A4-9EB3-D21FC4693AEE}"/>
  <bookViews>
    <workbookView xWindow="-110" yWindow="-110" windowWidth="19420" windowHeight="11500" xr2:uid="{54A9AB2B-D91E-4318-8A9F-49DDFB101279}"/>
  </bookViews>
  <sheets>
    <sheet name="Form" sheetId="4" r:id="rId1"/>
    <sheet name="ppm" sheetId="1" r:id="rId2"/>
    <sheet name="%M" sheetId="2" r:id="rId3"/>
    <sheet name="%MO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7" i="1" l="1"/>
  <c r="D17" i="1" s="1"/>
  <c r="B18" i="1"/>
  <c r="D18" i="1" s="1"/>
  <c r="B16" i="1"/>
  <c r="D16" i="1" s="1"/>
  <c r="A6" i="1"/>
  <c r="E6" i="1"/>
  <c r="A10" i="1"/>
  <c r="A16" i="1"/>
  <c r="C28" i="4"/>
  <c r="H4" i="1"/>
  <c r="H3" i="1"/>
  <c r="H2" i="1"/>
  <c r="H1" i="1"/>
  <c r="B3" i="1"/>
  <c r="C27" i="4"/>
  <c r="C4" i="4"/>
  <c r="C23" i="4" s="1"/>
  <c r="A18" i="1"/>
  <c r="A17" i="1"/>
  <c r="A12" i="1"/>
  <c r="A11" i="1"/>
  <c r="D15" i="1"/>
  <c r="C15" i="1"/>
  <c r="C25" i="4"/>
  <c r="B2" i="1"/>
  <c r="B1" i="1"/>
  <c r="C26" i="4"/>
  <c r="C24" i="4"/>
  <c r="B17" i="3"/>
  <c r="D17" i="3" s="1"/>
  <c r="B17" i="2"/>
  <c r="B18" i="2"/>
  <c r="D18" i="2" s="1"/>
  <c r="B19" i="2"/>
  <c r="D19" i="2" s="1"/>
  <c r="B18" i="3"/>
  <c r="B19" i="3"/>
  <c r="D18" i="3"/>
  <c r="D19" i="3"/>
  <c r="D17" i="2"/>
  <c r="E8" i="3"/>
  <c r="F8" i="3" s="1"/>
  <c r="E8" i="2"/>
  <c r="F8" i="2" s="1"/>
  <c r="D20" i="2" l="1"/>
  <c r="D19" i="1"/>
  <c r="F18" i="3"/>
  <c r="F17" i="3"/>
  <c r="F20" i="3" s="1"/>
  <c r="F19" i="3"/>
  <c r="E17" i="2"/>
  <c r="E19" i="2"/>
  <c r="E18" i="2"/>
  <c r="E20" i="2" l="1"/>
</calcChain>
</file>

<file path=xl/sharedStrings.xml><?xml version="1.0" encoding="utf-8"?>
<sst xmlns="http://schemas.openxmlformats.org/spreadsheetml/2006/main" count="132" uniqueCount="71">
  <si>
    <t>Submission ID:</t>
  </si>
  <si>
    <t>Analysis:</t>
  </si>
  <si>
    <t>LOI</t>
  </si>
  <si>
    <t>sample</t>
  </si>
  <si>
    <t>LOI (%)</t>
  </si>
  <si>
    <t>correction</t>
  </si>
  <si>
    <t>prep</t>
  </si>
  <si>
    <t>weight (g)</t>
  </si>
  <si>
    <t>volume (mL)</t>
  </si>
  <si>
    <t>dilution</t>
  </si>
  <si>
    <t>2-127169</t>
  </si>
  <si>
    <t>crucible (g)</t>
  </si>
  <si>
    <t>crucible+sample (g)</t>
  </si>
  <si>
    <t>LF448PS-23-2855</t>
  </si>
  <si>
    <t>Project #:</t>
  </si>
  <si>
    <t>2-127169_1</t>
  </si>
  <si>
    <t>2-127169_2</t>
  </si>
  <si>
    <t>2-127169_3</t>
  </si>
  <si>
    <t>Time (min)</t>
  </si>
  <si>
    <t>Power (W)</t>
  </si>
  <si>
    <r>
      <t>T</t>
    </r>
    <r>
      <rPr>
        <b/>
        <vertAlign val="subscript"/>
        <sz val="11"/>
        <color theme="1"/>
        <rFont val="Aptos Narrow"/>
        <family val="2"/>
        <scheme val="minor"/>
      </rPr>
      <t>1</t>
    </r>
    <r>
      <rPr>
        <b/>
        <sz val="11"/>
        <color theme="1"/>
        <rFont val="Aptos Narrow"/>
        <family val="2"/>
        <scheme val="minor"/>
      </rPr>
      <t xml:space="preserve"> (</t>
    </r>
    <r>
      <rPr>
        <b/>
        <sz val="11"/>
        <color theme="1"/>
        <rFont val="Aptos Narrow"/>
        <family val="2"/>
      </rPr>
      <t>°C</t>
    </r>
    <r>
      <rPr>
        <b/>
        <sz val="11"/>
        <color theme="1"/>
        <rFont val="Aptos Narrow"/>
        <family val="2"/>
        <scheme val="minor"/>
      </rPr>
      <t>)</t>
    </r>
  </si>
  <si>
    <r>
      <t>T</t>
    </r>
    <r>
      <rPr>
        <b/>
        <vertAlign val="subscript"/>
        <sz val="11"/>
        <color theme="1"/>
        <rFont val="Aptos Narrow"/>
        <family val="2"/>
        <scheme val="minor"/>
      </rPr>
      <t>2</t>
    </r>
    <r>
      <rPr>
        <b/>
        <sz val="11"/>
        <color theme="1"/>
        <rFont val="Aptos Narrow"/>
        <family val="2"/>
        <scheme val="minor"/>
      </rPr>
      <t xml:space="preserve"> (</t>
    </r>
    <r>
      <rPr>
        <b/>
        <sz val="11"/>
        <color theme="1"/>
        <rFont val="Aptos Narrow"/>
        <family val="2"/>
      </rPr>
      <t>°C</t>
    </r>
    <r>
      <rPr>
        <b/>
        <sz val="11"/>
        <color theme="1"/>
        <rFont val="Aptos Narrow"/>
        <family val="2"/>
        <scheme val="minor"/>
      </rPr>
      <t>)</t>
    </r>
  </si>
  <si>
    <t>P (bar)</t>
  </si>
  <si>
    <t>vial</t>
  </si>
  <si>
    <t>stir</t>
  </si>
  <si>
    <t>Manufacturer: Assurance, Pt lot: 28-2PTY exp: 2026-03-30</t>
  </si>
  <si>
    <t>oxide factor</t>
  </si>
  <si>
    <r>
      <t>[</t>
    </r>
    <r>
      <rPr>
        <b/>
        <i/>
        <sz val="11"/>
        <color theme="1"/>
        <rFont val="Aptos Narrow"/>
        <family val="2"/>
        <scheme val="minor"/>
      </rPr>
      <t>%Co</t>
    </r>
    <r>
      <rPr>
        <b/>
        <sz val="11"/>
        <color theme="1"/>
        <rFont val="Aptos Narrow"/>
        <family val="2"/>
        <scheme val="minor"/>
      </rPr>
      <t>]</t>
    </r>
  </si>
  <si>
    <r>
      <rPr>
        <b/>
        <i/>
        <sz val="11"/>
        <color theme="1"/>
        <rFont val="Aptos Narrow"/>
        <family val="2"/>
        <scheme val="minor"/>
      </rPr>
      <t>Co</t>
    </r>
    <r>
      <rPr>
        <b/>
        <sz val="11"/>
        <color theme="1"/>
        <rFont val="Aptos Narrow"/>
        <family val="2"/>
        <scheme val="minor"/>
      </rPr>
      <t xml:space="preserve"> [mg/L]</t>
    </r>
  </si>
  <si>
    <r>
      <t>[</t>
    </r>
    <r>
      <rPr>
        <b/>
        <i/>
        <sz val="11"/>
        <color theme="1"/>
        <rFont val="Aptos Narrow"/>
        <family val="2"/>
        <scheme val="minor"/>
      </rPr>
      <t>%Co3O4</t>
    </r>
    <r>
      <rPr>
        <b/>
        <sz val="11"/>
        <color theme="1"/>
        <rFont val="Aptos Narrow"/>
        <family val="2"/>
        <scheme val="minor"/>
      </rPr>
      <t>][dried]</t>
    </r>
  </si>
  <si>
    <t>Agilent ICP %Co3O4</t>
  </si>
  <si>
    <t>sample after drying (g)</t>
  </si>
  <si>
    <t>A = crucible</t>
  </si>
  <si>
    <t>B = crucible + sample</t>
  </si>
  <si>
    <t>C = crucible + sample after drying</t>
  </si>
  <si>
    <t>{r}</t>
  </si>
  <si>
    <t>Date:</t>
  </si>
  <si>
    <t>2-127232_1</t>
  </si>
  <si>
    <t>2-127232_2</t>
  </si>
  <si>
    <t>2-127232_3</t>
  </si>
  <si>
    <t>{Katanax: Ramping, filter}</t>
  </si>
  <si>
    <r>
      <t>T</t>
    </r>
    <r>
      <rPr>
        <b/>
        <vertAlign val="subscript"/>
        <sz val="11"/>
        <color theme="0"/>
        <rFont val="Aptos Narrow"/>
        <family val="2"/>
        <scheme val="minor"/>
      </rPr>
      <t>1</t>
    </r>
    <r>
      <rPr>
        <b/>
        <sz val="11"/>
        <color theme="0"/>
        <rFont val="Aptos Narrow"/>
        <family val="2"/>
        <scheme val="minor"/>
      </rPr>
      <t xml:space="preserve"> (</t>
    </r>
    <r>
      <rPr>
        <b/>
        <sz val="11"/>
        <color theme="0"/>
        <rFont val="Aptos Narrow"/>
        <family val="2"/>
      </rPr>
      <t>°C</t>
    </r>
    <r>
      <rPr>
        <b/>
        <sz val="11"/>
        <color theme="0"/>
        <rFont val="Aptos Narrow"/>
        <family val="2"/>
        <scheme val="minor"/>
      </rPr>
      <t>)</t>
    </r>
  </si>
  <si>
    <r>
      <t>T</t>
    </r>
    <r>
      <rPr>
        <b/>
        <vertAlign val="subscript"/>
        <sz val="11"/>
        <color theme="0"/>
        <rFont val="Aptos Narrow"/>
        <family val="2"/>
        <scheme val="minor"/>
      </rPr>
      <t>2</t>
    </r>
    <r>
      <rPr>
        <b/>
        <sz val="11"/>
        <color theme="0"/>
        <rFont val="Aptos Narrow"/>
        <family val="2"/>
        <scheme val="minor"/>
      </rPr>
      <t xml:space="preserve"> (</t>
    </r>
    <r>
      <rPr>
        <b/>
        <sz val="11"/>
        <color theme="0"/>
        <rFont val="Aptos Narrow"/>
        <family val="2"/>
      </rPr>
      <t>°C</t>
    </r>
    <r>
      <rPr>
        <b/>
        <sz val="11"/>
        <color theme="0"/>
        <rFont val="Aptos Narrow"/>
        <family val="2"/>
        <scheme val="minor"/>
      </rPr>
      <t>)</t>
    </r>
  </si>
  <si>
    <t>Manufacturer: Assurance, Cu lot: 28-83CUT exp: 2026-09-30</t>
  </si>
  <si>
    <t>Manufacturer: Assurance, Y lot: 28-89YX exp: 2026-10-30</t>
  </si>
  <si>
    <t>Analytical</t>
  </si>
  <si>
    <t>Agilent ICP %Cu</t>
  </si>
  <si>
    <t>Notes/Comments: This is a test for the usability of  the excel sheet</t>
  </si>
  <si>
    <r>
      <rPr>
        <b/>
        <i/>
        <sz val="11"/>
        <color theme="1"/>
        <rFont val="Aptos Narrow"/>
        <family val="2"/>
        <scheme val="minor"/>
      </rPr>
      <t>Cu</t>
    </r>
    <r>
      <rPr>
        <b/>
        <sz val="11"/>
        <color theme="1"/>
        <rFont val="Aptos Narrow"/>
        <family val="2"/>
        <scheme val="minor"/>
      </rPr>
      <t xml:space="preserve"> [mg/L]</t>
    </r>
  </si>
  <si>
    <r>
      <t>[</t>
    </r>
    <r>
      <rPr>
        <b/>
        <i/>
        <sz val="11"/>
        <color theme="1"/>
        <rFont val="Aptos Narrow"/>
        <family val="2"/>
        <scheme val="minor"/>
      </rPr>
      <t>%Cu</t>
    </r>
    <r>
      <rPr>
        <b/>
        <sz val="11"/>
        <color theme="1"/>
        <rFont val="Aptos Narrow"/>
        <family val="2"/>
        <scheme val="minor"/>
      </rPr>
      <t>]</t>
    </r>
  </si>
  <si>
    <r>
      <t>[</t>
    </r>
    <r>
      <rPr>
        <b/>
        <i/>
        <sz val="11"/>
        <color theme="1"/>
        <rFont val="Aptos Narrow"/>
        <family val="2"/>
        <scheme val="minor"/>
      </rPr>
      <t>%Cu</t>
    </r>
    <r>
      <rPr>
        <b/>
        <sz val="11"/>
        <color theme="1"/>
        <rFont val="Aptos Narrow"/>
        <family val="2"/>
        <scheme val="minor"/>
      </rPr>
      <t>][dried]</t>
    </r>
  </si>
  <si>
    <t>← reported value</t>
  </si>
  <si>
    <t>Correcred analysis, used wrong sample weight.</t>
  </si>
  <si>
    <t>Request Worksheet</t>
  </si>
  <si>
    <t>Analysis</t>
  </si>
  <si>
    <t>element:</t>
  </si>
  <si>
    <t>loi</t>
  </si>
  <si>
    <t>Submission ID</t>
  </si>
  <si>
    <t>element</t>
  </si>
  <si>
    <t>L.O.I</t>
  </si>
  <si>
    <t>Notes/Comments:</t>
  </si>
  <si>
    <t>below</t>
  </si>
  <si>
    <t>Date</t>
  </si>
  <si>
    <t>Fe</t>
  </si>
  <si>
    <t>Sample</t>
  </si>
  <si>
    <t>{}</t>
  </si>
  <si>
    <t>SOP reference</t>
  </si>
  <si>
    <t>enter lot number</t>
  </si>
  <si>
    <t>Microwave: WI-2027</t>
  </si>
  <si>
    <t>Agilent ICP Fe_ppm</t>
  </si>
  <si>
    <t>WI-2020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</si>
</sst>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"/>
    <numFmt numFmtId="166" formatCode="m/d/yyyy;@"/>
  </numFmts>
  <fonts count="1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</font>
    <font>
      <b/>
      <vertAlign val="subscript"/>
      <sz val="11"/>
      <color theme="1"/>
      <name val="Aptos Narrow"/>
      <family val="2"/>
      <scheme val="minor"/>
    </font>
    <font>
      <i/>
      <sz val="11"/>
      <color theme="1"/>
      <name val="Aptos"/>
      <family val="2"/>
    </font>
    <font>
      <sz val="11"/>
      <color theme="1"/>
      <name val="Aptos"/>
      <family val="2"/>
    </font>
    <font>
      <b/>
      <sz val="11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vertAlign val="subscript"/>
      <sz val="11"/>
      <color theme="0"/>
      <name val="Aptos Narrow"/>
      <family val="2"/>
      <scheme val="minor"/>
    </font>
    <font>
      <b/>
      <sz val="11"/>
      <color theme="0"/>
      <name val="Aptos Narrow"/>
      <family val="2"/>
    </font>
    <font>
      <b/>
      <sz val="15"/>
      <color theme="0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0" tint="-4.9989318521683403E-2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1" fillId="0" borderId="0" xfId="0" applyFont="1"/>
    <xf numFmtId="164" fontId="0" fillId="0" borderId="0" xfId="0" applyNumberFormat="1"/>
    <xf numFmtId="165" fontId="0" fillId="0" borderId="0" xfId="0" applyNumberFormat="1"/>
    <xf numFmtId="2" fontId="0" fillId="0" borderId="0" xfId="0" applyNumberFormat="1"/>
    <xf numFmtId="0" fontId="2" fillId="0" borderId="0" xfId="0" applyFont="1"/>
    <xf numFmtId="0" fontId="3" fillId="0" borderId="0" xfId="0" applyFont="1"/>
    <xf numFmtId="0" fontId="1" fillId="0" borderId="0" xfId="0" applyFont="1" applyAlignment="1">
      <alignment horizontal="left"/>
    </xf>
    <xf numFmtId="9" fontId="0" fillId="0" borderId="0" xfId="0" applyNumberFormat="1"/>
    <xf numFmtId="0" fontId="7" fillId="0" borderId="0" xfId="0" applyFont="1" applyAlignment="1">
      <alignment vertical="center"/>
    </xf>
    <xf numFmtId="0" fontId="1" fillId="0" borderId="1" xfId="0" applyFont="1" applyBorder="1"/>
    <xf numFmtId="0" fontId="0" fillId="0" borderId="1" xfId="0" applyBorder="1"/>
    <xf numFmtId="2" fontId="0" fillId="0" borderId="1" xfId="0" applyNumberFormat="1" applyBorder="1"/>
    <xf numFmtId="164" fontId="0" fillId="0" borderId="1" xfId="0" applyNumberFormat="1" applyBorder="1"/>
    <xf numFmtId="0" fontId="7" fillId="0" borderId="0" xfId="0" applyFont="1" applyAlignment="1">
      <alignment horizontal="justify" vertical="center"/>
    </xf>
    <xf numFmtId="0" fontId="8" fillId="0" borderId="0" xfId="0" applyFont="1" applyAlignment="1">
      <alignment horizontal="justify" vertical="center"/>
    </xf>
    <xf numFmtId="0" fontId="9" fillId="0" borderId="0" xfId="0" applyFont="1"/>
    <xf numFmtId="0" fontId="10" fillId="0" borderId="0" xfId="0" applyFont="1"/>
    <xf numFmtId="9" fontId="10" fillId="0" borderId="0" xfId="0" applyNumberFormat="1" applyFont="1"/>
    <xf numFmtId="14" fontId="0" fillId="0" borderId="0" xfId="0" applyNumberFormat="1"/>
    <xf numFmtId="2" fontId="0" fillId="2" borderId="0" xfId="0" applyNumberFormat="1" applyFill="1"/>
    <xf numFmtId="0" fontId="1" fillId="4" borderId="1" xfId="0" applyFont="1" applyFill="1" applyBorder="1" applyAlignment="1">
      <alignment horizontal="left"/>
    </xf>
    <xf numFmtId="0" fontId="0" fillId="4" borderId="1" xfId="0" applyFill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14" fontId="0" fillId="0" borderId="0" xfId="0" applyNumberFormat="1" applyAlignment="1">
      <alignment horizontal="left"/>
    </xf>
    <xf numFmtId="166" fontId="0" fillId="0" borderId="0" xfId="0" applyNumberFormat="1"/>
    <xf numFmtId="0" fontId="0" fillId="4" borderId="0" xfId="0" applyFill="1"/>
    <xf numFmtId="14" fontId="0" fillId="4" borderId="0" xfId="0" applyNumberFormat="1" applyFill="1"/>
    <xf numFmtId="0" fontId="15" fillId="3" borderId="0" xfId="0" applyFont="1" applyFill="1"/>
    <xf numFmtId="0" fontId="0" fillId="4" borderId="1" xfId="0" quotePrefix="1" applyFill="1" applyBorder="1" applyAlignment="1">
      <alignment horizontal="left"/>
    </xf>
    <xf numFmtId="164" fontId="10" fillId="0" borderId="0" xfId="0" applyNumberFormat="1" applyFont="1"/>
    <xf numFmtId="0" fontId="10" fillId="3" borderId="0" xfId="0" applyFont="1" applyFill="1"/>
    <xf numFmtId="0" fontId="13" fillId="3" borderId="2" xfId="0" applyFont="1" applyFill="1" applyBorder="1" applyAlignment="1">
      <alignment horizontal="left" vertical="center"/>
    </xf>
    <xf numFmtId="0" fontId="9" fillId="3" borderId="3" xfId="0" applyFont="1" applyFill="1" applyBorder="1" applyAlignment="1">
      <alignment horizontal="left" vertical="center"/>
    </xf>
    <xf numFmtId="0" fontId="9" fillId="3" borderId="4" xfId="0" applyFont="1" applyFill="1" applyBorder="1" applyAlignment="1">
      <alignment horizontal="left" vertical="center"/>
    </xf>
    <xf numFmtId="0" fontId="3" fillId="0" borderId="0" xfId="0" applyFont="1" applyAlignment="1">
      <alignment horizontal="left"/>
    </xf>
    <xf numFmtId="0" fontId="0" fillId="0" borderId="0" xfId="0" applyAlignment="1">
      <alignment horizontal="center"/>
    </xf>
  </cellXfs>
  <cellStyles count="1">
    <cellStyle name="Normal" xfId="0" builtinId="0"/>
  </cellStyles>
  <dxfs count="1">
    <dxf>
      <fill>
        <patternFill>
          <bgColor rgb="FFFFFFC5"/>
        </patternFill>
      </fill>
    </dxf>
  </dxfs>
  <tableStyles count="0" defaultTableStyle="TableStyleMedium2" defaultPivotStyle="PivotStyleLight16"/>
  <colors>
    <mruColors>
      <color rgb="FFFFFFC5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$C$29" lockText="1" noThreeD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7.png"/><Relationship Id="rId1" Type="http://schemas.openxmlformats.org/officeDocument/2006/relationships/image" Target="../media/image3.png"/><Relationship Id="rId5" Type="http://schemas.openxmlformats.org/officeDocument/2006/relationships/image" Target="../media/image8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171450</xdr:rowOff>
        </xdr:from>
        <xdr:to>
          <xdr:col>3</xdr:col>
          <xdr:colOff>0</xdr:colOff>
          <xdr:row>16</xdr:row>
          <xdr:rowOff>31750</xdr:rowOff>
        </xdr:to>
        <xdr:sp macro="" textlink="">
          <xdr:nvSpPr>
            <xdr:cNvPr id="4101" name="Check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95250</xdr:colOff>
      <xdr:row>1</xdr:row>
      <xdr:rowOff>28575</xdr:rowOff>
    </xdr:from>
    <xdr:to>
      <xdr:col>4</xdr:col>
      <xdr:colOff>495300</xdr:colOff>
      <xdr:row>1</xdr:row>
      <xdr:rowOff>428625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BC7F37F-001F-E641-9D0E-C4E12CF648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219075"/>
          <a:ext cx="400050" cy="4000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1047750</xdr:colOff>
          <xdr:row>16</xdr:row>
          <xdr:rowOff>171450</xdr:rowOff>
        </xdr:from>
        <xdr:to>
          <xdr:col>3</xdr:col>
          <xdr:colOff>190500</xdr:colOff>
          <xdr:row>18</xdr:row>
          <xdr:rowOff>95250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0</xdr:rowOff>
    </xdr:from>
    <xdr:to>
      <xdr:col>2</xdr:col>
      <xdr:colOff>247650</xdr:colOff>
      <xdr:row>24</xdr:row>
      <xdr:rowOff>165100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63CB036A-F6F8-2621-F85E-CC43D85DAD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260850"/>
          <a:ext cx="2565400" cy="349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447675</xdr:colOff>
      <xdr:row>23</xdr:row>
      <xdr:rowOff>171450</xdr:rowOff>
    </xdr:from>
    <xdr:to>
      <xdr:col>2</xdr:col>
      <xdr:colOff>857250</xdr:colOff>
      <xdr:row>25</xdr:row>
      <xdr:rowOff>152400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8A06234-4C48-DC50-62CC-16D40448C6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7675" y="4400550"/>
          <a:ext cx="2114550" cy="361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466725</xdr:colOff>
      <xdr:row>30</xdr:row>
      <xdr:rowOff>76200</xdr:rowOff>
    </xdr:from>
    <xdr:to>
      <xdr:col>2</xdr:col>
      <xdr:colOff>838200</xdr:colOff>
      <xdr:row>32</xdr:row>
      <xdr:rowOff>19050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D0AD888-783C-6081-ADB8-3BDB6CEFA5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6725" y="6210300"/>
          <a:ext cx="2076450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790575</xdr:colOff>
      <xdr:row>32</xdr:row>
      <xdr:rowOff>104775</xdr:rowOff>
    </xdr:from>
    <xdr:to>
      <xdr:col>2</xdr:col>
      <xdr:colOff>619125</xdr:colOff>
      <xdr:row>34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5D0A370-B993-0E0E-20F6-E51E15C9D1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0575" y="6619875"/>
          <a:ext cx="153352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704850</xdr:colOff>
      <xdr:row>34</xdr:row>
      <xdr:rowOff>152400</xdr:rowOff>
    </xdr:from>
    <xdr:to>
      <xdr:col>2</xdr:col>
      <xdr:colOff>647700</xdr:colOff>
      <xdr:row>36</xdr:row>
      <xdr:rowOff>114300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FB68B68-09C1-A436-138C-387FCEBD64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850" y="7048500"/>
          <a:ext cx="1647825" cy="342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447675</xdr:colOff>
      <xdr:row>23</xdr:row>
      <xdr:rowOff>95250</xdr:rowOff>
    </xdr:from>
    <xdr:to>
      <xdr:col>2</xdr:col>
      <xdr:colOff>676275</xdr:colOff>
      <xdr:row>25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087FBBD-04B2-6BB6-330A-3C4F71C0E5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7675" y="4324350"/>
          <a:ext cx="2114550" cy="361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619125</xdr:colOff>
      <xdr:row>26</xdr:row>
      <xdr:rowOff>76200</xdr:rowOff>
    </xdr:from>
    <xdr:to>
      <xdr:col>2</xdr:col>
      <xdr:colOff>609600</xdr:colOff>
      <xdr:row>27</xdr:row>
      <xdr:rowOff>57150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35ABD38-BA92-1B80-0825-5DA3CCE559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4876800"/>
          <a:ext cx="1876425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676275</xdr:colOff>
      <xdr:row>32</xdr:row>
      <xdr:rowOff>0</xdr:rowOff>
    </xdr:from>
    <xdr:to>
      <xdr:col>2</xdr:col>
      <xdr:colOff>866775</xdr:colOff>
      <xdr:row>33</xdr:row>
      <xdr:rowOff>133350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13E1020-B2AF-A120-8A04-38CA5294FE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6275" y="6515100"/>
          <a:ext cx="2076450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819150</xdr:colOff>
      <xdr:row>34</xdr:row>
      <xdr:rowOff>76200</xdr:rowOff>
    </xdr:from>
    <xdr:to>
      <xdr:col>2</xdr:col>
      <xdr:colOff>466725</xdr:colOff>
      <xdr:row>36</xdr:row>
      <xdr:rowOff>19050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2CD2A16-DB35-B63A-A43C-2F62AC0670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9150" y="6972300"/>
          <a:ext cx="153352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742950</xdr:colOff>
      <xdr:row>37</xdr:row>
      <xdr:rowOff>38100</xdr:rowOff>
    </xdr:from>
    <xdr:to>
      <xdr:col>2</xdr:col>
      <xdr:colOff>514350</xdr:colOff>
      <xdr:row>38</xdr:row>
      <xdr:rowOff>171450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5F64C2E0-5C78-DAEC-2579-FF3A17B9C4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2950" y="7505700"/>
          <a:ext cx="1657350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E6D5C8-4F68-420D-89F7-76C6B3CE96BC}">
  <sheetPr codeName="Sheet1"/>
  <dimension ref="B2:E29"/>
  <sheetViews>
    <sheetView tabSelected="1" zoomScale="120" zoomScaleNormal="120" workbookViewId="0">
      <selection activeCell="C21" sqref="C21:C26"/>
    </sheetView>
  </sheetViews>
  <sheetFormatPr defaultRowHeight="14.5" x14ac:dyDescent="0.35"/>
  <cols>
    <col min="2" max="2" width="17.453125" bestFit="1" customWidth="1"/>
    <col min="3" max="3" width="17.7265625" bestFit="1" customWidth="1"/>
  </cols>
  <sheetData>
    <row r="2" spans="2:5" ht="35.25" customHeight="1" x14ac:dyDescent="0.35">
      <c r="B2" s="36" t="s">
        <v>53</v>
      </c>
      <c r="C2" s="37"/>
      <c r="D2" s="37"/>
      <c r="E2" s="38"/>
    </row>
    <row r="3" spans="2:5" x14ac:dyDescent="0.35">
      <c r="B3" s="23"/>
      <c r="C3" s="19"/>
      <c r="E3" s="24"/>
    </row>
    <row r="4" spans="2:5" x14ac:dyDescent="0.35">
      <c r="B4" s="23" t="s">
        <v>36</v>
      </c>
      <c r="C4" s="28">
        <f ca="1">TODAY()</f>
        <v>46121</v>
      </c>
      <c r="E4" s="24"/>
    </row>
    <row r="5" spans="2:5" ht="3" customHeight="1" x14ac:dyDescent="0.35">
      <c r="B5" s="23"/>
      <c r="E5" s="24"/>
    </row>
    <row r="6" spans="2:5" x14ac:dyDescent="0.35">
      <c r="B6" s="23" t="s">
        <v>0</v>
      </c>
      <c r="C6" s="21">
        <v>1</v>
      </c>
      <c r="E6" s="24"/>
    </row>
    <row r="7" spans="2:5" ht="3" customHeight="1" x14ac:dyDescent="0.35">
      <c r="B7" s="23"/>
      <c r="E7" s="24"/>
    </row>
    <row r="8" spans="2:5" ht="16" customHeight="1" x14ac:dyDescent="0.35">
      <c r="B8" s="23" t="s">
        <v>64</v>
      </c>
      <c r="C8" s="21">
        <v>2</v>
      </c>
      <c r="E8" s="24"/>
    </row>
    <row r="9" spans="2:5" ht="3.75" customHeight="1" x14ac:dyDescent="0.35">
      <c r="B9" s="23"/>
      <c r="E9" s="24"/>
    </row>
    <row r="10" spans="2:5" x14ac:dyDescent="0.35">
      <c r="B10" s="23" t="s">
        <v>1</v>
      </c>
      <c r="C10" s="22" t="s">
        <v>69</v>
      </c>
      <c r="E10" s="24"/>
    </row>
    <row r="11" spans="2:5" ht="3" customHeight="1" x14ac:dyDescent="0.35">
      <c r="B11" s="23"/>
      <c r="E11" s="24"/>
    </row>
    <row r="12" spans="2:5" x14ac:dyDescent="0.35">
      <c r="B12" s="23" t="s">
        <v>66</v>
      </c>
      <c r="C12" s="33" t="s">
        <v>70</v>
      </c>
      <c r="E12" s="24"/>
    </row>
    <row r="13" spans="2:5" ht="3" customHeight="1" x14ac:dyDescent="0.35">
      <c r="B13" s="23"/>
      <c r="C13" t="s">
        <v>63</v>
      </c>
      <c r="E13" s="24"/>
    </row>
    <row r="14" spans="2:5" x14ac:dyDescent="0.35">
      <c r="B14" s="23" t="s">
        <v>55</v>
      </c>
      <c r="C14" s="22" t="s">
        <v>63</v>
      </c>
      <c r="E14" s="24"/>
    </row>
    <row r="15" spans="2:5" ht="3.75" customHeight="1" x14ac:dyDescent="0.35">
      <c r="B15" s="23"/>
      <c r="E15" s="24"/>
    </row>
    <row r="16" spans="2:5" x14ac:dyDescent="0.35">
      <c r="B16" s="23" t="s">
        <v>59</v>
      </c>
      <c r="E16" s="24"/>
    </row>
    <row r="17" spans="2:5" x14ac:dyDescent="0.35">
      <c r="B17" s="23"/>
      <c r="E17" s="24"/>
    </row>
    <row r="18" spans="2:5" x14ac:dyDescent="0.35">
      <c r="B18" s="23"/>
      <c r="E18" s="24"/>
    </row>
    <row r="19" spans="2:5" x14ac:dyDescent="0.35">
      <c r="B19" s="23"/>
      <c r="E19" s="24"/>
    </row>
    <row r="20" spans="2:5" x14ac:dyDescent="0.35">
      <c r="B20" s="25"/>
      <c r="C20" s="26"/>
      <c r="D20" s="26"/>
      <c r="E20" s="27"/>
    </row>
    <row r="23" spans="2:5" x14ac:dyDescent="0.35">
      <c r="B23" s="30" t="s">
        <v>62</v>
      </c>
      <c r="C23" s="31">
        <f ca="1">C4</f>
        <v>46121</v>
      </c>
    </row>
    <row r="24" spans="2:5" x14ac:dyDescent="0.35">
      <c r="B24" s="30" t="s">
        <v>57</v>
      </c>
      <c r="C24" s="30">
        <f>C6</f>
        <v>1</v>
      </c>
    </row>
    <row r="25" spans="2:5" x14ac:dyDescent="0.35">
      <c r="B25" s="30" t="s">
        <v>64</v>
      </c>
      <c r="C25" s="30">
        <f>C8</f>
        <v>2</v>
      </c>
    </row>
    <row r="26" spans="2:5" x14ac:dyDescent="0.35">
      <c r="B26" s="30" t="s">
        <v>54</v>
      </c>
      <c r="C26" s="30" t="str">
        <f>C10</f>
        <v>Agilent ICP Fe_ppm</v>
      </c>
    </row>
    <row r="27" spans="2:5" x14ac:dyDescent="0.35">
      <c r="B27" s="30" t="s">
        <v>66</v>
      </c>
      <c r="C27" s="30" t="str">
        <f>IF(C12="", "", C12)</f>
        <v>WI-2020</v>
      </c>
    </row>
    <row r="28" spans="2:5" x14ac:dyDescent="0.35">
      <c r="B28" s="30" t="s">
        <v>58</v>
      </c>
      <c r="C28" s="30" t="str">
        <f>C14</f>
        <v>Fe</v>
      </c>
    </row>
    <row r="29" spans="2:5" x14ac:dyDescent="0.35">
      <c r="B29" s="30" t="s">
        <v>56</v>
      </c>
      <c r="C29" s="30" t="b">
        <v>0</v>
      </c>
    </row>
  </sheetData>
  <mergeCells count="1">
    <mergeCell ref="B2:E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1" r:id="rId3" name="Check Box 5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171450</xdr:rowOff>
                  </from>
                  <to>
                    <xdr:col>3</xdr:col>
                    <xdr:colOff>0</xdr:colOff>
                    <xdr:row>16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4" name="Button 6">
              <controlPr defaultSize="0" print="0" autoFill="0" autoPict="0" macro="[0]!submit">
                <anchor moveWithCells="1" sizeWithCells="1">
                  <from>
                    <xdr:col>1</xdr:col>
                    <xdr:colOff>1047750</xdr:colOff>
                    <xdr:row>16</xdr:row>
                    <xdr:rowOff>171450</xdr:rowOff>
                  </from>
                  <to>
                    <xdr:col>3</xdr:col>
                    <xdr:colOff>190500</xdr:colOff>
                    <xdr:row>18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B5DD05-37BA-4966-A263-616DE3FED767}">
  <sheetPr codeName="Sheet2"/>
  <dimension ref="A1:O28"/>
  <sheetViews>
    <sheetView workbookViewId="0">
      <selection activeCell="I2" sqref="I2:N2"/>
    </sheetView>
  </sheetViews>
  <sheetFormatPr defaultRowHeight="14.5" x14ac:dyDescent="0.35"/>
  <cols>
    <col min="1" max="1" width="14.453125" bestFit="1" customWidth="1"/>
    <col min="2" max="2" width="18.7265625" bestFit="1" customWidth="1"/>
    <col min="3" max="3" width="19" bestFit="1" customWidth="1"/>
    <col min="4" max="4" width="22.6328125" bestFit="1" customWidth="1"/>
    <col min="5" max="5" width="10.54296875" bestFit="1" customWidth="1"/>
    <col min="8" max="8" width="20.26953125" bestFit="1" customWidth="1"/>
    <col min="9" max="9" width="14" bestFit="1" customWidth="1"/>
    <col min="10" max="10" width="10" bestFit="1" customWidth="1"/>
    <col min="11" max="11" width="16.1796875" customWidth="1"/>
    <col min="13" max="13" width="12.26953125" customWidth="1"/>
    <col min="14" max="14" width="9.26953125" bestFit="1" customWidth="1"/>
  </cols>
  <sheetData>
    <row r="1" spans="1:15" x14ac:dyDescent="0.35">
      <c r="A1" t="s">
        <v>36</v>
      </c>
      <c r="B1" s="29">
        <f>I2</f>
        <v>0</v>
      </c>
      <c r="H1" t="str">
        <f>"Microwave: " &amp; M2</f>
        <v>Microwave: 2</v>
      </c>
      <c r="I1" s="32" t="s">
        <v>61</v>
      </c>
      <c r="J1" s="32"/>
      <c r="K1" s="32"/>
      <c r="L1" s="32"/>
      <c r="M1" s="32"/>
      <c r="N1" s="32"/>
    </row>
    <row r="2" spans="1:15" x14ac:dyDescent="0.35">
      <c r="A2" t="s">
        <v>0</v>
      </c>
      <c r="B2" s="7">
        <f>J2</f>
        <v>0</v>
      </c>
      <c r="H2" t="str">
        <f>"Katanax: " &amp; M2</f>
        <v>Katanax: 2</v>
      </c>
      <c r="I2" s="35"/>
      <c r="J2" s="35"/>
      <c r="K2" s="35">
        <v>46121</v>
      </c>
      <c r="L2" s="35">
        <v>1</v>
      </c>
      <c r="M2" s="35">
        <v>2</v>
      </c>
      <c r="N2" s="35" t="s">
        <v>69</v>
      </c>
      <c r="O2" t="b">
        <v>0</v>
      </c>
    </row>
    <row r="3" spans="1:15" x14ac:dyDescent="0.35">
      <c r="A3" t="s">
        <v>1</v>
      </c>
      <c r="B3">
        <f>L2</f>
        <v>1</v>
      </c>
      <c r="H3" t="str">
        <f>"Hotplate: " &amp; M2</f>
        <v>Hotplate: 2</v>
      </c>
    </row>
    <row r="4" spans="1:15" x14ac:dyDescent="0.35">
      <c r="H4" t="str">
        <f>"None: " &amp; M2</f>
        <v>None: 2</v>
      </c>
    </row>
    <row r="5" spans="1:15" x14ac:dyDescent="0.35">
      <c r="A5" s="16" t="s">
        <v>3</v>
      </c>
      <c r="B5" s="16" t="s">
        <v>11</v>
      </c>
      <c r="C5" s="16" t="s">
        <v>12</v>
      </c>
      <c r="D5" s="16" t="s">
        <v>31</v>
      </c>
      <c r="E5" s="16" t="s">
        <v>5</v>
      </c>
    </row>
    <row r="6" spans="1:15" x14ac:dyDescent="0.35">
      <c r="A6" s="17">
        <f>K2</f>
        <v>46121</v>
      </c>
      <c r="B6" s="17">
        <v>2</v>
      </c>
      <c r="C6" s="17">
        <v>2.2000000000000002</v>
      </c>
      <c r="D6" s="17">
        <v>2.2000000000000002</v>
      </c>
      <c r="E6" s="34" t="e">
        <f>1-(#REF!/100)</f>
        <v>#REF!</v>
      </c>
    </row>
    <row r="7" spans="1:15" x14ac:dyDescent="0.35">
      <c r="A7" s="16"/>
      <c r="B7" s="17"/>
      <c r="C7" s="17"/>
      <c r="D7" s="17"/>
      <c r="E7" s="17"/>
    </row>
    <row r="8" spans="1:15" x14ac:dyDescent="0.35">
      <c r="A8" s="1" t="s">
        <v>6</v>
      </c>
      <c r="B8" t="s">
        <v>68</v>
      </c>
      <c r="C8" t="s">
        <v>65</v>
      </c>
    </row>
    <row r="9" spans="1:15" ht="16.5" x14ac:dyDescent="0.45">
      <c r="A9" s="10" t="s">
        <v>3</v>
      </c>
      <c r="B9" s="10" t="s">
        <v>7</v>
      </c>
      <c r="C9" s="10" t="s">
        <v>8</v>
      </c>
      <c r="D9" s="16" t="s">
        <v>18</v>
      </c>
      <c r="E9" s="16" t="s">
        <v>41</v>
      </c>
      <c r="F9" s="16" t="s">
        <v>42</v>
      </c>
      <c r="G9" s="16" t="s">
        <v>22</v>
      </c>
      <c r="H9" s="16" t="s">
        <v>23</v>
      </c>
      <c r="I9" s="16" t="s">
        <v>24</v>
      </c>
    </row>
    <row r="10" spans="1:15" x14ac:dyDescent="0.35">
      <c r="A10" s="11">
        <f>K2</f>
        <v>46121</v>
      </c>
      <c r="B10" s="11">
        <v>0.50880000000000003</v>
      </c>
      <c r="C10" s="11">
        <v>50</v>
      </c>
      <c r="D10" s="16"/>
      <c r="E10" s="16"/>
      <c r="F10" s="16"/>
      <c r="G10" s="16"/>
      <c r="H10" s="16"/>
      <c r="I10" s="16"/>
    </row>
    <row r="11" spans="1:15" x14ac:dyDescent="0.35">
      <c r="A11" s="11">
        <f>K2</f>
        <v>46121</v>
      </c>
      <c r="B11" s="11">
        <v>0.50900000000000001</v>
      </c>
      <c r="C11" s="11">
        <v>50</v>
      </c>
      <c r="D11" s="17"/>
      <c r="E11" s="17"/>
      <c r="F11" s="17"/>
      <c r="G11" s="17"/>
      <c r="H11" s="17"/>
      <c r="I11" s="18"/>
    </row>
    <row r="12" spans="1:15" x14ac:dyDescent="0.35">
      <c r="A12" s="11">
        <f>K2</f>
        <v>46121</v>
      </c>
      <c r="B12" s="11">
        <v>0.50700000000000001</v>
      </c>
      <c r="C12" s="11">
        <v>50</v>
      </c>
      <c r="D12" s="17"/>
      <c r="E12" s="17"/>
      <c r="F12" s="17"/>
      <c r="G12" s="17"/>
      <c r="H12" s="17"/>
      <c r="I12" s="17"/>
    </row>
    <row r="13" spans="1:15" x14ac:dyDescent="0.35">
      <c r="D13" s="17"/>
      <c r="E13" s="17"/>
      <c r="F13" s="17"/>
      <c r="G13" s="17"/>
      <c r="H13" s="17"/>
      <c r="I13" s="17"/>
    </row>
    <row r="14" spans="1:15" x14ac:dyDescent="0.35">
      <c r="A14" s="1"/>
    </row>
    <row r="15" spans="1:15" x14ac:dyDescent="0.35">
      <c r="A15" s="10" t="s">
        <v>3</v>
      </c>
      <c r="B15" s="10" t="s">
        <v>9</v>
      </c>
      <c r="C15" s="10" t="str">
        <f>N2&amp;" "&amp;"[mg/L]"</f>
        <v>Agilent ICP Fe_ppm [mg/L]</v>
      </c>
      <c r="D15" s="10" t="str">
        <f>N2&amp;" "&amp;"[ppm]"</f>
        <v>Agilent ICP Fe_ppm [ppm]</v>
      </c>
      <c r="E15" s="1"/>
    </row>
    <row r="16" spans="1:15" x14ac:dyDescent="0.35">
      <c r="A16">
        <f>K2</f>
        <v>46121</v>
      </c>
      <c r="B16" t="str">
        <f>"10/9"</f>
        <v>10/9</v>
      </c>
      <c r="C16">
        <v>0.69199999999999995</v>
      </c>
      <c r="D16" s="4">
        <f>((C16*C10)*(LEFT(B16,FIND("/",B16)-1)/RIGHT(B16,LEN(B16)-FIND("/",B16)))/B10)</f>
        <v>75.559049615653379</v>
      </c>
      <c r="E16" s="1"/>
    </row>
    <row r="17" spans="1:5" x14ac:dyDescent="0.35">
      <c r="A17">
        <f>K2</f>
        <v>46121</v>
      </c>
      <c r="B17" t="str">
        <f t="shared" ref="B17:B18" si="0">"10/9"</f>
        <v>10/9</v>
      </c>
      <c r="C17">
        <v>0.69399999999999995</v>
      </c>
      <c r="D17" s="4">
        <f>((C17*C11)*(LEFT(B17,FIND("/",B17)-1)/RIGHT(B17,LEN(B17)-FIND("/",B17)))/B11)</f>
        <v>75.747653350796753</v>
      </c>
    </row>
    <row r="18" spans="1:5" x14ac:dyDescent="0.35">
      <c r="A18">
        <f>K2</f>
        <v>46121</v>
      </c>
      <c r="B18" t="str">
        <f t="shared" si="0"/>
        <v>10/9</v>
      </c>
      <c r="C18">
        <v>0.64500000000000002</v>
      </c>
      <c r="D18" s="4">
        <f t="shared" ref="D18" si="1">((C18*C12)*(LEFT(B18,FIND("/",B18)-1)/RIGHT(B18,LEN(B18)-FIND("/",B18)))/B12)</f>
        <v>70.67718606180145</v>
      </c>
    </row>
    <row r="19" spans="1:5" x14ac:dyDescent="0.35">
      <c r="D19" s="4">
        <f>AVERAGE(D17:D18)</f>
        <v>73.212419706299102</v>
      </c>
      <c r="E19" s="1"/>
    </row>
    <row r="21" spans="1:5" x14ac:dyDescent="0.35">
      <c r="A21" s="39" t="s">
        <v>67</v>
      </c>
      <c r="B21" s="39"/>
      <c r="C21" s="39"/>
      <c r="D21" s="39"/>
    </row>
    <row r="22" spans="1:5" x14ac:dyDescent="0.35">
      <c r="A22" s="40"/>
      <c r="B22" s="40"/>
      <c r="C22" s="40"/>
      <c r="D22" s="40"/>
    </row>
    <row r="28" spans="1:5" x14ac:dyDescent="0.35">
      <c r="A28" s="5" t="s">
        <v>60</v>
      </c>
    </row>
  </sheetData>
  <mergeCells count="2">
    <mergeCell ref="A21:D21"/>
    <mergeCell ref="A22:D22"/>
  </mergeCells>
  <phoneticPr fontId="4" type="noConversion"/>
  <conditionalFormatting sqref="A21:D21">
    <cfRule type="containsText" dxfId="0" priority="1" operator="containsText" text="enter lot number">
      <formula>NOT(ISERROR(SEARCH("enter lot number",A21)))</formula>
    </cfRule>
  </conditionalFormatting>
  <dataValidations count="2">
    <dataValidation type="list" allowBlank="1" showInputMessage="1" showErrorMessage="1" sqref="B8" xr:uid="{BA59DF1D-3D2C-4589-9437-25D8F1BB4CEE}">
      <formula1>$H$1:$H$4</formula1>
    </dataValidation>
    <dataValidation allowBlank="1" showInputMessage="1" showErrorMessage="1" promptTitle="use for lot number" prompt="please enter lot number" sqref="A21:A22" xr:uid="{016EA2AF-28A3-44D8-A3F0-F9BEC4E2F4E6}"/>
  </dataValidations>
  <pageMargins left="0.7" right="0.7" top="0.75" bottom="0.75" header="0.3" footer="0.3"/>
  <pageSetup orientation="portrait" horizontalDpi="200" verticalDpi="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40290-B2B0-46CC-B3FE-9F7A3D7B3157}">
  <sheetPr codeName="Sheet3"/>
  <dimension ref="A1:J41"/>
  <sheetViews>
    <sheetView workbookViewId="0">
      <selection activeCell="F8" sqref="A7:F8"/>
    </sheetView>
  </sheetViews>
  <sheetFormatPr defaultRowHeight="14.5" x14ac:dyDescent="0.35"/>
  <cols>
    <col min="1" max="1" width="14.453125" bestFit="1" customWidth="1"/>
    <col min="2" max="2" width="11.1796875" customWidth="1"/>
    <col min="3" max="3" width="19" bestFit="1" customWidth="1"/>
    <col min="4" max="4" width="20.81640625" bestFit="1" customWidth="1"/>
    <col min="5" max="5" width="12.54296875" bestFit="1" customWidth="1"/>
    <col min="6" max="6" width="10.26953125" bestFit="1" customWidth="1"/>
  </cols>
  <sheetData>
    <row r="1" spans="1:10" x14ac:dyDescent="0.35">
      <c r="A1" t="s">
        <v>36</v>
      </c>
      <c r="B1" s="19">
        <v>46099</v>
      </c>
      <c r="C1" t="s">
        <v>52</v>
      </c>
    </row>
    <row r="2" spans="1:10" x14ac:dyDescent="0.35">
      <c r="A2" t="s">
        <v>0</v>
      </c>
      <c r="B2" s="7">
        <v>100048287</v>
      </c>
    </row>
    <row r="3" spans="1:10" x14ac:dyDescent="0.35">
      <c r="A3" t="s">
        <v>14</v>
      </c>
      <c r="B3" s="1" t="s">
        <v>45</v>
      </c>
    </row>
    <row r="4" spans="1:10" x14ac:dyDescent="0.35">
      <c r="A4" t="s">
        <v>1</v>
      </c>
      <c r="B4" t="s">
        <v>46</v>
      </c>
    </row>
    <row r="6" spans="1:10" x14ac:dyDescent="0.35">
      <c r="A6" s="6" t="s">
        <v>2</v>
      </c>
    </row>
    <row r="7" spans="1:10" x14ac:dyDescent="0.35">
      <c r="A7" s="10" t="s">
        <v>3</v>
      </c>
      <c r="B7" s="10" t="s">
        <v>11</v>
      </c>
      <c r="C7" s="10" t="s">
        <v>12</v>
      </c>
      <c r="D7" s="10" t="s">
        <v>31</v>
      </c>
      <c r="E7" s="10" t="s">
        <v>4</v>
      </c>
      <c r="F7" s="10" t="s">
        <v>5</v>
      </c>
    </row>
    <row r="8" spans="1:10" x14ac:dyDescent="0.35">
      <c r="A8" s="11" t="s">
        <v>10</v>
      </c>
      <c r="B8" s="11">
        <v>27.978300000000001</v>
      </c>
      <c r="C8" s="11">
        <v>29.9816</v>
      </c>
      <c r="D8" s="11">
        <v>29.957999999999998</v>
      </c>
      <c r="E8" s="12">
        <f>(((C8-B8)-(D8-B8))/(C8-B8))*100</f>
        <v>1.1780562072581164</v>
      </c>
      <c r="F8" s="13">
        <f>1-(E8/100)</f>
        <v>0.98821943792741884</v>
      </c>
    </row>
    <row r="9" spans="1:10" x14ac:dyDescent="0.35">
      <c r="A9" s="1"/>
    </row>
    <row r="10" spans="1:10" x14ac:dyDescent="0.35">
      <c r="A10" s="1" t="s">
        <v>6</v>
      </c>
      <c r="B10" t="s">
        <v>40</v>
      </c>
    </row>
    <row r="11" spans="1:10" ht="16.5" x14ac:dyDescent="0.45">
      <c r="A11" s="10" t="s">
        <v>3</v>
      </c>
      <c r="B11" s="10" t="s">
        <v>7</v>
      </c>
      <c r="C11" s="10" t="s">
        <v>8</v>
      </c>
      <c r="D11" s="16" t="s">
        <v>18</v>
      </c>
      <c r="E11" s="16" t="s">
        <v>19</v>
      </c>
      <c r="F11" s="16" t="s">
        <v>41</v>
      </c>
      <c r="G11" s="16" t="s">
        <v>42</v>
      </c>
      <c r="H11" s="16" t="s">
        <v>22</v>
      </c>
      <c r="I11" s="16" t="s">
        <v>23</v>
      </c>
      <c r="J11" s="16" t="s">
        <v>24</v>
      </c>
    </row>
    <row r="12" spans="1:10" x14ac:dyDescent="0.35">
      <c r="A12" t="s">
        <v>37</v>
      </c>
      <c r="B12">
        <v>0.20710000000000001</v>
      </c>
      <c r="C12">
        <v>250</v>
      </c>
      <c r="D12" s="17"/>
      <c r="E12" s="17"/>
      <c r="F12" s="17"/>
      <c r="G12" s="17"/>
      <c r="H12" s="17"/>
      <c r="I12" s="17"/>
      <c r="J12" s="18"/>
    </row>
    <row r="13" spans="1:10" x14ac:dyDescent="0.35">
      <c r="A13" t="s">
        <v>38</v>
      </c>
      <c r="B13">
        <v>0.40889999999999999</v>
      </c>
      <c r="C13">
        <v>250</v>
      </c>
      <c r="D13" s="17"/>
      <c r="E13" s="17"/>
      <c r="F13" s="17"/>
      <c r="G13" s="17"/>
      <c r="H13" s="17"/>
      <c r="I13" s="17"/>
      <c r="J13" s="17"/>
    </row>
    <row r="14" spans="1:10" x14ac:dyDescent="0.35">
      <c r="A14" t="s">
        <v>39</v>
      </c>
      <c r="B14">
        <v>0.40600000000000003</v>
      </c>
      <c r="C14">
        <v>250</v>
      </c>
      <c r="D14" s="17"/>
      <c r="E14" s="17"/>
      <c r="F14" s="17"/>
      <c r="G14" s="17"/>
      <c r="H14" s="17"/>
      <c r="I14" s="17"/>
      <c r="J14" s="17"/>
    </row>
    <row r="15" spans="1:10" x14ac:dyDescent="0.35">
      <c r="A15" s="1"/>
    </row>
    <row r="16" spans="1:10" x14ac:dyDescent="0.35">
      <c r="A16" s="1" t="s">
        <v>3</v>
      </c>
      <c r="B16" s="1" t="s">
        <v>9</v>
      </c>
      <c r="C16" s="1" t="s">
        <v>48</v>
      </c>
      <c r="D16" s="1" t="s">
        <v>49</v>
      </c>
      <c r="E16" s="1" t="s">
        <v>50</v>
      </c>
      <c r="F16" s="1"/>
    </row>
    <row r="17" spans="1:6" x14ac:dyDescent="0.35">
      <c r="A17" t="s">
        <v>37</v>
      </c>
      <c r="B17" t="str">
        <f>"25/10"</f>
        <v>25/10</v>
      </c>
      <c r="C17">
        <v>2.08</v>
      </c>
      <c r="D17" s="4">
        <f>((C17*C12)*(LEFT(B17,FIND("/",B17)-1)/RIGHT(B17,LEN(B17)-FIND("/",B17)))/(B12*10^4))</f>
        <v>0.62771607918879768</v>
      </c>
      <c r="E17" s="4">
        <f>D17/$F$8</f>
        <v>0.63519908139562542</v>
      </c>
    </row>
    <row r="18" spans="1:6" x14ac:dyDescent="0.35">
      <c r="A18" t="s">
        <v>38</v>
      </c>
      <c r="B18" t="str">
        <f t="shared" ref="B18:B19" si="0">"25/20"</f>
        <v>25/20</v>
      </c>
      <c r="C18">
        <v>2.0619999999999998</v>
      </c>
      <c r="D18" s="4">
        <f t="shared" ref="D18:D19" si="1">((C18*C13)*(LEFT(B18,FIND("/",B18)-1)/RIGHT(B18,LEN(B18)-FIND("/",B18)))/(B13*10^4))</f>
        <v>0.15758742968941061</v>
      </c>
      <c r="E18" s="4">
        <f t="shared" ref="E18:E19" si="2">D18/$F$8</f>
        <v>0.15946602914421204</v>
      </c>
    </row>
    <row r="19" spans="1:6" x14ac:dyDescent="0.35">
      <c r="A19" t="s">
        <v>39</v>
      </c>
      <c r="B19" t="str">
        <f t="shared" si="0"/>
        <v>25/20</v>
      </c>
      <c r="C19">
        <v>2.0550000000000002</v>
      </c>
      <c r="D19" s="4">
        <f t="shared" si="1"/>
        <v>0.15817426108374383</v>
      </c>
      <c r="E19" s="4">
        <f t="shared" si="2"/>
        <v>0.16005985615450033</v>
      </c>
    </row>
    <row r="20" spans="1:6" x14ac:dyDescent="0.35">
      <c r="D20" s="4">
        <f>AVERAGE(D17:D19)</f>
        <v>0.31449258998731738</v>
      </c>
      <c r="E20" s="20">
        <f>AVERAGE(E17:E19)</f>
        <v>0.31824165556477929</v>
      </c>
      <c r="F20" s="1" t="s">
        <v>51</v>
      </c>
    </row>
    <row r="22" spans="1:6" x14ac:dyDescent="0.35">
      <c r="A22" s="9" t="s">
        <v>43</v>
      </c>
    </row>
    <row r="23" spans="1:6" x14ac:dyDescent="0.35">
      <c r="A23" s="6" t="s">
        <v>44</v>
      </c>
    </row>
    <row r="28" spans="1:6" x14ac:dyDescent="0.35">
      <c r="A28" s="14" t="s">
        <v>32</v>
      </c>
    </row>
    <row r="29" spans="1:6" ht="29" x14ac:dyDescent="0.35">
      <c r="A29" s="14" t="s">
        <v>33</v>
      </c>
    </row>
    <row r="30" spans="1:6" ht="43.5" x14ac:dyDescent="0.35">
      <c r="A30" s="14" t="s">
        <v>34</v>
      </c>
    </row>
    <row r="31" spans="1:6" x14ac:dyDescent="0.35">
      <c r="A31" s="15"/>
    </row>
    <row r="32" spans="1:6" x14ac:dyDescent="0.35">
      <c r="A32" s="15"/>
    </row>
    <row r="41" spans="1:1" x14ac:dyDescent="0.35">
      <c r="A41" s="5" t="s">
        <v>47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DB32A-91A7-497E-995B-8FCDA2DD2D33}">
  <sheetPr codeName="Sheet4"/>
  <dimension ref="A1:J33"/>
  <sheetViews>
    <sheetView workbookViewId="0">
      <selection activeCell="E18" sqref="E18"/>
    </sheetView>
  </sheetViews>
  <sheetFormatPr defaultRowHeight="14.5" x14ac:dyDescent="0.35"/>
  <cols>
    <col min="1" max="1" width="14.453125" bestFit="1" customWidth="1"/>
    <col min="2" max="2" width="13.81640625" customWidth="1"/>
    <col min="3" max="3" width="19" bestFit="1" customWidth="1"/>
    <col min="4" max="4" width="20.81640625" bestFit="1" customWidth="1"/>
    <col min="5" max="5" width="12.453125" bestFit="1" customWidth="1"/>
    <col min="6" max="6" width="16.7265625" bestFit="1" customWidth="1"/>
  </cols>
  <sheetData>
    <row r="1" spans="1:10" x14ac:dyDescent="0.35">
      <c r="A1" t="s">
        <v>36</v>
      </c>
    </row>
    <row r="2" spans="1:10" x14ac:dyDescent="0.35">
      <c r="A2" t="s">
        <v>0</v>
      </c>
      <c r="B2" s="7">
        <v>100048266</v>
      </c>
    </row>
    <row r="3" spans="1:10" x14ac:dyDescent="0.35">
      <c r="A3" t="s">
        <v>14</v>
      </c>
      <c r="B3" s="1" t="s">
        <v>13</v>
      </c>
    </row>
    <row r="4" spans="1:10" x14ac:dyDescent="0.35">
      <c r="A4" t="s">
        <v>1</v>
      </c>
      <c r="B4" t="s">
        <v>30</v>
      </c>
    </row>
    <row r="6" spans="1:10" x14ac:dyDescent="0.35">
      <c r="A6" s="6" t="s">
        <v>2</v>
      </c>
    </row>
    <row r="7" spans="1:10" x14ac:dyDescent="0.35">
      <c r="A7" s="1" t="s">
        <v>3</v>
      </c>
      <c r="B7" s="1" t="s">
        <v>11</v>
      </c>
      <c r="C7" s="1" t="s">
        <v>12</v>
      </c>
      <c r="D7" s="1" t="s">
        <v>31</v>
      </c>
      <c r="E7" s="1" t="s">
        <v>4</v>
      </c>
      <c r="F7" s="1" t="s">
        <v>5</v>
      </c>
    </row>
    <row r="8" spans="1:10" x14ac:dyDescent="0.35">
      <c r="A8" t="s">
        <v>10</v>
      </c>
      <c r="B8">
        <v>1</v>
      </c>
      <c r="C8">
        <v>2</v>
      </c>
      <c r="D8">
        <v>2</v>
      </c>
      <c r="E8" s="4">
        <f>(((C8-B8)-(D8-B8))/(C8-B8))*100</f>
        <v>0</v>
      </c>
      <c r="F8" s="2">
        <f>1-(E8/100)</f>
        <v>1</v>
      </c>
    </row>
    <row r="9" spans="1:10" x14ac:dyDescent="0.35">
      <c r="A9" s="1"/>
    </row>
    <row r="10" spans="1:10" x14ac:dyDescent="0.35">
      <c r="A10" s="1" t="s">
        <v>6</v>
      </c>
      <c r="B10" t="s">
        <v>35</v>
      </c>
    </row>
    <row r="11" spans="1:10" ht="16.5" x14ac:dyDescent="0.45">
      <c r="A11" s="1" t="s">
        <v>3</v>
      </c>
      <c r="B11" s="1" t="s">
        <v>7</v>
      </c>
      <c r="C11" s="1" t="s">
        <v>8</v>
      </c>
      <c r="D11" s="1" t="s">
        <v>18</v>
      </c>
      <c r="E11" s="1" t="s">
        <v>19</v>
      </c>
      <c r="F11" s="1" t="s">
        <v>20</v>
      </c>
      <c r="G11" s="1" t="s">
        <v>21</v>
      </c>
      <c r="H11" s="1" t="s">
        <v>22</v>
      </c>
      <c r="I11" s="1" t="s">
        <v>23</v>
      </c>
      <c r="J11" s="1" t="s">
        <v>24</v>
      </c>
    </row>
    <row r="12" spans="1:10" x14ac:dyDescent="0.35">
      <c r="A12" t="s">
        <v>15</v>
      </c>
      <c r="B12">
        <v>0.20710000000000001</v>
      </c>
      <c r="C12">
        <v>250</v>
      </c>
      <c r="J12" s="8"/>
    </row>
    <row r="13" spans="1:10" x14ac:dyDescent="0.35">
      <c r="A13" t="s">
        <v>16</v>
      </c>
    </row>
    <row r="14" spans="1:10" x14ac:dyDescent="0.35">
      <c r="A14" t="s">
        <v>17</v>
      </c>
    </row>
    <row r="15" spans="1:10" x14ac:dyDescent="0.35">
      <c r="A15" s="1"/>
    </row>
    <row r="16" spans="1:10" x14ac:dyDescent="0.35">
      <c r="A16" s="1" t="s">
        <v>3</v>
      </c>
      <c r="B16" s="1" t="s">
        <v>9</v>
      </c>
      <c r="C16" s="1" t="s">
        <v>28</v>
      </c>
      <c r="D16" s="1" t="s">
        <v>27</v>
      </c>
      <c r="E16" s="5" t="s">
        <v>26</v>
      </c>
      <c r="F16" s="1" t="s">
        <v>29</v>
      </c>
    </row>
    <row r="17" spans="1:6" x14ac:dyDescent="0.35">
      <c r="A17" t="s">
        <v>15</v>
      </c>
      <c r="B17" t="str">
        <f>"25/10"</f>
        <v>25/10</v>
      </c>
      <c r="C17">
        <v>2.444</v>
      </c>
      <c r="D17" s="4">
        <f>((C17*C12)*(LEFT(B17,FIND("/",B17)-1)/RIGHT(B17,LEN(B17)-FIND("/",B17)))/(B12*10^4))</f>
        <v>0.73756639304683724</v>
      </c>
      <c r="E17" s="3">
        <v>2.1389999999999998</v>
      </c>
      <c r="F17" s="4">
        <f>(D17*E17)/$F$8</f>
        <v>1.5776545147271848</v>
      </c>
    </row>
    <row r="18" spans="1:6" x14ac:dyDescent="0.35">
      <c r="A18" t="s">
        <v>16</v>
      </c>
      <c r="B18" t="str">
        <f t="shared" ref="B18:B19" si="0">"1/1"</f>
        <v>1/1</v>
      </c>
      <c r="D18" s="4" t="e">
        <f t="shared" ref="D18:D19" si="1">((C18*C13)*(LEFT(B18,FIND("/",B18)-1)/RIGHT(B18,LEN(B18)-FIND("/",B18)))/(B13*10^4))</f>
        <v>#DIV/0!</v>
      </c>
      <c r="E18" s="3"/>
      <c r="F18" s="4" t="e">
        <f t="shared" ref="F18:F19" si="2">(D18*E18)/$F$8</f>
        <v>#DIV/0!</v>
      </c>
    </row>
    <row r="19" spans="1:6" x14ac:dyDescent="0.35">
      <c r="A19" t="s">
        <v>17</v>
      </c>
      <c r="B19" t="str">
        <f t="shared" si="0"/>
        <v>1/1</v>
      </c>
      <c r="D19" s="4" t="e">
        <f t="shared" si="1"/>
        <v>#DIV/0!</v>
      </c>
      <c r="E19" s="3"/>
      <c r="F19" s="4" t="e">
        <f t="shared" si="2"/>
        <v>#DIV/0!</v>
      </c>
    </row>
    <row r="20" spans="1:6" x14ac:dyDescent="0.35">
      <c r="F20" s="4" t="e">
        <f>AVERAGE(F17:F19)</f>
        <v>#DIV/0!</v>
      </c>
    </row>
    <row r="22" spans="1:6" x14ac:dyDescent="0.35">
      <c r="A22" s="9" t="s">
        <v>25</v>
      </c>
    </row>
    <row r="26" spans="1:6" x14ac:dyDescent="0.35">
      <c r="E26" s="6"/>
    </row>
    <row r="30" spans="1:6" x14ac:dyDescent="0.35">
      <c r="A30" s="14" t="s">
        <v>32</v>
      </c>
    </row>
    <row r="31" spans="1:6" ht="29" x14ac:dyDescent="0.35">
      <c r="A31" s="14" t="s">
        <v>33</v>
      </c>
    </row>
    <row r="32" spans="1:6" ht="43.5" x14ac:dyDescent="0.35">
      <c r="A32" s="14" t="s">
        <v>34</v>
      </c>
    </row>
    <row r="33" spans="1:1" x14ac:dyDescent="0.35">
      <c r="A33" s="15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Form</vt:lpstr>
      <vt:lpstr>ppm</vt:lpstr>
      <vt:lpstr>%M</vt:lpstr>
      <vt:lpstr>%MO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 Archemetre</dc:creator>
  <cp:lastModifiedBy>Carl Archemetre</cp:lastModifiedBy>
  <dcterms:created xsi:type="dcterms:W3CDTF">2026-03-12T19:50:23Z</dcterms:created>
  <dcterms:modified xsi:type="dcterms:W3CDTF">2026-04-09T23:49:26Z</dcterms:modified>
</cp:coreProperties>
</file>