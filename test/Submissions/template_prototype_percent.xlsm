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lariant-my.sharepoint.com/personal/carl_archemetre_clariant_com/Documents/Submissions/"/>
    </mc:Choice>
  </mc:AlternateContent>
  <xr:revisionPtr revIDLastSave="20" documentId="8_{BD254206-5EB2-4641-952B-42D1280D1FA1}" xr6:coauthVersionLast="47" xr6:coauthVersionMax="47" xr10:uidLastSave="{AE4C1139-2BA2-4126-9DE2-89EA8F645F48}"/>
  <bookViews>
    <workbookView xWindow="-110" yWindow="-110" windowWidth="19420" windowHeight="11500" xr2:uid="{54A9AB2B-D91E-4318-8A9F-49DDFB101279}"/>
  </bookViews>
  <sheets>
    <sheet name="Form" sheetId="4" r:id="rId1"/>
    <sheet name="%M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7" i="1" l="1"/>
  <c r="D17" i="1" s="1"/>
  <c r="B18" i="1"/>
  <c r="D18" i="1" s="1"/>
  <c r="B16" i="1"/>
  <c r="E15" i="1"/>
  <c r="D15" i="1"/>
  <c r="D16" i="1"/>
  <c r="Q2" i="1"/>
  <c r="E6" i="1" l="1"/>
  <c r="E17" i="1"/>
  <c r="E18" i="1"/>
  <c r="E16" i="1"/>
  <c r="A6" i="1"/>
  <c r="F6" i="1"/>
  <c r="A10" i="1"/>
  <c r="A16" i="1"/>
  <c r="C28" i="4"/>
  <c r="I4" i="1"/>
  <c r="I3" i="1"/>
  <c r="I2" i="1"/>
  <c r="I1" i="1"/>
  <c r="B3" i="1"/>
  <c r="C27" i="4"/>
  <c r="C4" i="4"/>
  <c r="C23" i="4" s="1"/>
  <c r="A18" i="1"/>
  <c r="A17" i="1"/>
  <c r="A12" i="1"/>
  <c r="A11" i="1"/>
  <c r="C15" i="1"/>
  <c r="C25" i="4"/>
  <c r="B2" i="1"/>
  <c r="B1" i="1"/>
  <c r="C26" i="4"/>
  <c r="C24" i="4"/>
  <c r="E19" i="1" l="1"/>
  <c r="D19" i="1"/>
</calcChain>
</file>

<file path=xl/sharedStrings.xml><?xml version="1.0" encoding="utf-8"?>
<sst xmlns="http://schemas.openxmlformats.org/spreadsheetml/2006/main" count="46" uniqueCount="39">
  <si>
    <t>Submission ID:</t>
  </si>
  <si>
    <t>Analysis:</t>
  </si>
  <si>
    <t>sample</t>
  </si>
  <si>
    <t>LOI (%)</t>
  </si>
  <si>
    <t>correction</t>
  </si>
  <si>
    <t>prep</t>
  </si>
  <si>
    <t>weight (g)</t>
  </si>
  <si>
    <t>volume (mL)</t>
  </si>
  <si>
    <t>dilution</t>
  </si>
  <si>
    <t>crucible (g)</t>
  </si>
  <si>
    <t>crucible+sample (g)</t>
  </si>
  <si>
    <t>Time (min)</t>
  </si>
  <si>
    <t>Power (W)</t>
  </si>
  <si>
    <t>P (bar)</t>
  </si>
  <si>
    <t>vial</t>
  </si>
  <si>
    <t>stir</t>
  </si>
  <si>
    <t>sample after drying (g)</t>
  </si>
  <si>
    <t>Date:</t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</si>
  <si>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1</t>
    </r>
    <r>
      <rPr>
        <b/>
        <sz val="11"/>
        <color theme="0"/>
        <rFont val="Aptos Narrow"/>
        <family val="2"/>
        <scheme val="minor"/>
      </rPr>
      <t xml:space="preserve"> (</t>
    </r>
    <r>
      <rPr>
        <b/>
        <sz val="11"/>
        <color theme="0"/>
        <rFont val="Aptos Narrow"/>
        <family val="2"/>
      </rPr>
      <t>°C</t>
    </r>
    <r>
      <rPr>
        <b/>
        <sz val="11"/>
        <color theme="0"/>
        <rFont val="Aptos Narrow"/>
        <family val="2"/>
        <scheme val="minor"/>
      </rPr>
      <t>)</t>
    </r>
  </si>
  <si>
    <r>
      <t>T</t>
    </r>
    <r>
      <rPr>
        <b/>
        <vertAlign val="subscript"/>
        <sz val="11"/>
        <color theme="0"/>
        <rFont val="Aptos Narrow"/>
        <family val="2"/>
        <scheme val="minor"/>
      </rPr>
      <t>2</t>
    </r>
    <r>
      <rPr>
        <b/>
        <sz val="11"/>
        <color theme="0"/>
        <rFont val="Aptos Narrow"/>
        <family val="2"/>
        <scheme val="minor"/>
      </rPr>
      <t xml:space="preserve"> (</t>
    </r>
    <r>
      <rPr>
        <b/>
        <sz val="11"/>
        <color theme="0"/>
        <rFont val="Aptos Narrow"/>
        <family val="2"/>
      </rPr>
      <t>°C</t>
    </r>
    <r>
      <rPr>
        <b/>
        <sz val="11"/>
        <color theme="0"/>
        <rFont val="Aptos Narrow"/>
        <family val="2"/>
        <scheme val="minor"/>
      </rPr>
      <t>)</t>
    </r>
  </si>
  <si>
    <t>Request Worksheet</t>
  </si>
  <si>
    <t>Analysis</t>
  </si>
  <si>
    <t>element:</t>
  </si>
  <si>
    <t>loi</t>
  </si>
  <si>
    <t>Submission ID</t>
  </si>
  <si>
    <t>element</t>
  </si>
  <si>
    <t>L.O.I</t>
  </si>
  <si>
    <t>Notes/Comments:</t>
  </si>
  <si>
    <t>below</t>
  </si>
  <si>
    <t>Date</t>
  </si>
  <si>
    <t>Fe</t>
  </si>
  <si>
    <t>Sample</t>
  </si>
  <si>
    <t>{}</t>
  </si>
  <si>
    <t>SOP reference</t>
  </si>
  <si>
    <t>enter lot number</t>
  </si>
  <si>
    <t>Agilent ICP Co</t>
  </si>
  <si>
    <t>WI-2026</t>
  </si>
  <si>
    <t>Co</t>
  </si>
  <si>
    <t>None: WI-2020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</si>
</sst>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m/d/yyyy;@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vertAlign val="subscript"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  <font>
      <b/>
      <sz val="15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1" fillId="0" borderId="0" xfId="0" applyFont="1" applyAlignment="1">
      <alignment horizontal="left"/>
    </xf>
    <xf numFmtId="0" fontId="1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0" fontId="5" fillId="0" borderId="0" xfId="0" applyFont="1"/>
    <xf numFmtId="0" fontId="6" fillId="0" borderId="0" xfId="0" applyFont="1"/>
    <xf numFmtId="9" fontId="6" fillId="0" borderId="0" xfId="0" applyNumberFormat="1" applyFont="1"/>
    <xf numFmtId="14" fontId="0" fillId="0" borderId="0" xfId="0" applyNumberFormat="1"/>
    <xf numFmtId="0" fontId="1" fillId="3" borderId="1" xfId="0" applyFont="1" applyFill="1" applyBorder="1" applyAlignment="1">
      <alignment horizontal="left"/>
    </xf>
    <xf numFmtId="0" fontId="0" fillId="3" borderId="1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0" fillId="3" borderId="1" xfId="0" quotePrefix="1" applyFill="1" applyBorder="1" applyAlignment="1">
      <alignment horizontal="left"/>
    </xf>
    <xf numFmtId="2" fontId="11" fillId="0" borderId="0" xfId="0" applyNumberFormat="1" applyFont="1"/>
    <xf numFmtId="14" fontId="6" fillId="0" borderId="0" xfId="0" applyNumberFormat="1" applyFont="1"/>
    <xf numFmtId="0" fontId="9" fillId="2" borderId="2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ill>
        <patternFill>
          <bgColor rgb="FFFFFFC5"/>
        </patternFill>
      </fill>
    </dxf>
  </dxfs>
  <tableStyles count="0" defaultTableStyle="TableStyleMedium2" defaultPivotStyle="PivotStyleLight16"/>
  <colors>
    <mruColors>
      <color rgb="FFFFFFC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C$29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171450</xdr:rowOff>
        </xdr:from>
        <xdr:to>
          <xdr:col>3</xdr:col>
          <xdr:colOff>0</xdr:colOff>
          <xdr:row>16</xdr:row>
          <xdr:rowOff>31750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95250</xdr:colOff>
      <xdr:row>1</xdr:row>
      <xdr:rowOff>28575</xdr:rowOff>
    </xdr:from>
    <xdr:to>
      <xdr:col>4</xdr:col>
      <xdr:colOff>495300</xdr:colOff>
      <xdr:row>1</xdr:row>
      <xdr:rowOff>428625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C7F37F-001F-E641-9D0E-C4E12CF64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19075"/>
          <a:ext cx="40005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1047750</xdr:colOff>
          <xdr:row>16</xdr:row>
          <xdr:rowOff>171450</xdr:rowOff>
        </xdr:from>
        <xdr:to>
          <xdr:col>3</xdr:col>
          <xdr:colOff>190500</xdr:colOff>
          <xdr:row>18</xdr:row>
          <xdr:rowOff>95250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0</xdr:rowOff>
    </xdr:from>
    <xdr:to>
      <xdr:col>0</xdr:col>
      <xdr:colOff>904875</xdr:colOff>
      <xdr:row>23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DC6F1AA-FDB4-60F7-63D8-705F62E11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10100"/>
          <a:ext cx="90487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1</xdr:col>
      <xdr:colOff>685800</xdr:colOff>
      <xdr:row>25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C2EFBB-ED9E-6290-CD0D-DB1348419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9650"/>
          <a:ext cx="16478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25</xdr:row>
      <xdr:rowOff>28575</xdr:rowOff>
    </xdr:from>
    <xdr:to>
      <xdr:col>2</xdr:col>
      <xdr:colOff>342900</xdr:colOff>
      <xdr:row>26</xdr:row>
      <xdr:rowOff>9525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4AF64B4-900A-4037-7ECF-5E1B0C463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19675"/>
          <a:ext cx="2552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47625</xdr:colOff>
      <xdr:row>27</xdr:row>
      <xdr:rowOff>28575</xdr:rowOff>
    </xdr:from>
    <xdr:to>
      <xdr:col>1</xdr:col>
      <xdr:colOff>1209675</xdr:colOff>
      <xdr:row>28</xdr:row>
      <xdr:rowOff>161925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7060378-20E2-7FFD-239E-4C70A949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210175"/>
          <a:ext cx="21240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12700</xdr:colOff>
      <xdr:row>29</xdr:row>
      <xdr:rowOff>165100</xdr:rowOff>
    </xdr:from>
    <xdr:to>
      <xdr:col>1</xdr:col>
      <xdr:colOff>1250950</xdr:colOff>
      <xdr:row>31</xdr:row>
      <xdr:rowOff>158750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5837FC-CBAB-A735-62CE-D5F5167EFF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5530850"/>
          <a:ext cx="224790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215900</xdr:colOff>
      <xdr:row>32</xdr:row>
      <xdr:rowOff>69850</xdr:rowOff>
    </xdr:from>
    <xdr:to>
      <xdr:col>1</xdr:col>
      <xdr:colOff>946150</xdr:colOff>
      <xdr:row>34</xdr:row>
      <xdr:rowOff>177800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F07F644-2146-AC49-8ADF-0CE03C6E7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900" y="5988050"/>
          <a:ext cx="173990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D5C8-4F68-420D-89F7-76C6B3CE96BC}">
  <sheetPr codeName="Sheet1"/>
  <dimension ref="B2:E29"/>
  <sheetViews>
    <sheetView showGridLines="0" tabSelected="1" zoomScale="120" zoomScaleNormal="120" workbookViewId="0">
      <selection activeCell="C14" sqref="C14"/>
    </sheetView>
  </sheetViews>
  <sheetFormatPr defaultRowHeight="14.5" x14ac:dyDescent="0.35"/>
  <cols>
    <col min="2" max="2" width="17.453125" bestFit="1" customWidth="1"/>
    <col min="3" max="3" width="17.7265625" bestFit="1" customWidth="1"/>
  </cols>
  <sheetData>
    <row r="2" spans="2:5" ht="35.25" customHeight="1" x14ac:dyDescent="0.35">
      <c r="B2" s="25" t="s">
        <v>20</v>
      </c>
      <c r="C2" s="26"/>
      <c r="D2" s="26"/>
      <c r="E2" s="27"/>
    </row>
    <row r="3" spans="2:5" x14ac:dyDescent="0.35">
      <c r="B3" s="15"/>
      <c r="C3" s="12"/>
      <c r="E3" s="16"/>
    </row>
    <row r="4" spans="2:5" x14ac:dyDescent="0.35">
      <c r="B4" s="15" t="s">
        <v>17</v>
      </c>
      <c r="C4" s="20">
        <f ca="1">TODAY()</f>
        <v>46121</v>
      </c>
      <c r="E4" s="16"/>
    </row>
    <row r="5" spans="2:5" ht="3" customHeight="1" x14ac:dyDescent="0.35">
      <c r="B5" s="15"/>
      <c r="E5" s="16"/>
    </row>
    <row r="6" spans="2:5" x14ac:dyDescent="0.35">
      <c r="B6" s="15" t="s">
        <v>0</v>
      </c>
      <c r="C6" s="13"/>
      <c r="E6" s="16"/>
    </row>
    <row r="7" spans="2:5" ht="3" customHeight="1" x14ac:dyDescent="0.35">
      <c r="B7" s="15"/>
      <c r="E7" s="16"/>
    </row>
    <row r="8" spans="2:5" ht="16" customHeight="1" x14ac:dyDescent="0.35">
      <c r="B8" s="15" t="s">
        <v>31</v>
      </c>
      <c r="C8" s="13"/>
      <c r="E8" s="16"/>
    </row>
    <row r="9" spans="2:5" ht="3.75" customHeight="1" x14ac:dyDescent="0.35">
      <c r="B9" s="15"/>
      <c r="E9" s="16"/>
    </row>
    <row r="10" spans="2:5" x14ac:dyDescent="0.35">
      <c r="B10" s="15" t="s">
        <v>1</v>
      </c>
      <c r="C10" s="14"/>
      <c r="E10" s="16"/>
    </row>
    <row r="11" spans="2:5" ht="3" customHeight="1" x14ac:dyDescent="0.35">
      <c r="B11" s="15"/>
      <c r="E11" s="16"/>
    </row>
    <row r="12" spans="2:5" x14ac:dyDescent="0.35">
      <c r="B12" s="15" t="s">
        <v>33</v>
      </c>
      <c r="C12" s="22"/>
      <c r="E12" s="16"/>
    </row>
    <row r="13" spans="2:5" ht="3" customHeight="1" x14ac:dyDescent="0.35">
      <c r="B13" s="15"/>
      <c r="C13" t="s">
        <v>30</v>
      </c>
      <c r="E13" s="16"/>
    </row>
    <row r="14" spans="2:5" x14ac:dyDescent="0.35">
      <c r="B14" s="15" t="s">
        <v>22</v>
      </c>
      <c r="C14" s="14"/>
      <c r="E14" s="16"/>
    </row>
    <row r="15" spans="2:5" ht="3.75" customHeight="1" x14ac:dyDescent="0.35">
      <c r="B15" s="15"/>
      <c r="E15" s="16"/>
    </row>
    <row r="16" spans="2:5" x14ac:dyDescent="0.35">
      <c r="B16" s="15" t="s">
        <v>26</v>
      </c>
      <c r="E16" s="16"/>
    </row>
    <row r="17" spans="2:5" x14ac:dyDescent="0.35">
      <c r="B17" s="15"/>
      <c r="E17" s="16"/>
    </row>
    <row r="18" spans="2:5" x14ac:dyDescent="0.35">
      <c r="B18" s="15"/>
      <c r="E18" s="16"/>
    </row>
    <row r="19" spans="2:5" x14ac:dyDescent="0.35">
      <c r="B19" s="15"/>
      <c r="E19" s="16"/>
    </row>
    <row r="20" spans="2:5" x14ac:dyDescent="0.35">
      <c r="B20" s="17"/>
      <c r="C20" s="18"/>
      <c r="D20" s="18"/>
      <c r="E20" s="19"/>
    </row>
    <row r="23" spans="2:5" x14ac:dyDescent="0.35">
      <c r="B23" s="10" t="s">
        <v>29</v>
      </c>
      <c r="C23" s="24">
        <f ca="1">C4</f>
        <v>46121</v>
      </c>
    </row>
    <row r="24" spans="2:5" x14ac:dyDescent="0.35">
      <c r="B24" s="10" t="s">
        <v>24</v>
      </c>
      <c r="C24" s="10">
        <f>C6</f>
        <v>0</v>
      </c>
    </row>
    <row r="25" spans="2:5" x14ac:dyDescent="0.35">
      <c r="B25" s="10" t="s">
        <v>31</v>
      </c>
      <c r="C25" s="10">
        <f>C8</f>
        <v>0</v>
      </c>
    </row>
    <row r="26" spans="2:5" x14ac:dyDescent="0.35">
      <c r="B26" s="10" t="s">
        <v>21</v>
      </c>
      <c r="C26" s="10">
        <f>C10</f>
        <v>0</v>
      </c>
    </row>
    <row r="27" spans="2:5" x14ac:dyDescent="0.35">
      <c r="B27" s="10" t="s">
        <v>33</v>
      </c>
      <c r="C27" s="10" t="str">
        <f>IF(C12="", "", C12)</f>
        <v/>
      </c>
    </row>
    <row r="28" spans="2:5" x14ac:dyDescent="0.35">
      <c r="B28" s="10" t="s">
        <v>25</v>
      </c>
      <c r="C28" s="10">
        <f>C14</f>
        <v>0</v>
      </c>
    </row>
    <row r="29" spans="2:5" x14ac:dyDescent="0.35">
      <c r="B29" s="10" t="s">
        <v>23</v>
      </c>
      <c r="C29" s="10" t="b">
        <v>1</v>
      </c>
    </row>
  </sheetData>
  <mergeCells count="1">
    <mergeCell ref="B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171450</xdr:rowOff>
                  </from>
                  <to>
                    <xdr:col>3</xdr:col>
                    <xdr:colOff>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click">
                <anchor moveWithCells="1" sizeWithCells="1">
                  <from>
                    <xdr:col>1</xdr:col>
                    <xdr:colOff>1047750</xdr:colOff>
                    <xdr:row>16</xdr:row>
                    <xdr:rowOff>171450</xdr:rowOff>
                  </from>
                  <to>
                    <xdr:col>3</xdr:col>
                    <xdr:colOff>190500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5DD05-37BA-4966-A263-616DE3FED767}">
  <sheetPr codeName="Sheet2"/>
  <dimension ref="A1:Q37"/>
  <sheetViews>
    <sheetView showGridLines="0" zoomScaleNormal="100" workbookViewId="0">
      <selection activeCell="B16" sqref="B16:B18"/>
    </sheetView>
  </sheetViews>
  <sheetFormatPr defaultRowHeight="14.5" x14ac:dyDescent="0.35"/>
  <cols>
    <col min="1" max="1" width="14.453125" bestFit="1" customWidth="1"/>
    <col min="2" max="2" width="18.7265625" bestFit="1" customWidth="1"/>
    <col min="3" max="3" width="19" bestFit="1" customWidth="1"/>
    <col min="4" max="4" width="20.81640625" bestFit="1" customWidth="1"/>
    <col min="5" max="5" width="16" bestFit="1" customWidth="1"/>
    <col min="6" max="6" width="10.54296875" bestFit="1" customWidth="1"/>
    <col min="9" max="9" width="20.26953125" bestFit="1" customWidth="1"/>
    <col min="10" max="10" width="14" bestFit="1" customWidth="1"/>
    <col min="11" max="11" width="10" bestFit="1" customWidth="1"/>
    <col min="12" max="12" width="16.1796875" customWidth="1"/>
    <col min="14" max="14" width="12.26953125" customWidth="1"/>
    <col min="15" max="15" width="9.26953125" bestFit="1" customWidth="1"/>
  </cols>
  <sheetData>
    <row r="1" spans="1:17" x14ac:dyDescent="0.35">
      <c r="A1" t="s">
        <v>17</v>
      </c>
      <c r="B1" s="21">
        <f>J2</f>
        <v>46121</v>
      </c>
      <c r="I1" s="10" t="str">
        <f>"Microwave: " &amp; N2</f>
        <v>Microwave: WI-2026</v>
      </c>
      <c r="J1" s="10" t="s">
        <v>28</v>
      </c>
      <c r="K1" s="10"/>
      <c r="L1" s="10"/>
      <c r="M1" s="10"/>
      <c r="N1" s="10"/>
      <c r="O1" s="10"/>
      <c r="P1" s="10"/>
      <c r="Q1" s="10"/>
    </row>
    <row r="2" spans="1:17" x14ac:dyDescent="0.35">
      <c r="A2" t="s">
        <v>0</v>
      </c>
      <c r="B2" s="4">
        <f>K2</f>
        <v>100048266</v>
      </c>
      <c r="I2" s="10" t="str">
        <f>"Katanax: " &amp; N2</f>
        <v>Katanax: WI-2026</v>
      </c>
      <c r="J2" s="10">
        <v>46121</v>
      </c>
      <c r="K2" s="10">
        <v>100048266</v>
      </c>
      <c r="L2" s="10">
        <v>200127169</v>
      </c>
      <c r="M2" s="10" t="s">
        <v>35</v>
      </c>
      <c r="N2" s="10" t="s">
        <v>36</v>
      </c>
      <c r="O2" s="10" t="s">
        <v>37</v>
      </c>
      <c r="P2" s="10" t="b">
        <v>1</v>
      </c>
      <c r="Q2" s="10" t="b">
        <f>ISNUMBER(SEARCH("microwave",B8))</f>
        <v>0</v>
      </c>
    </row>
    <row r="3" spans="1:17" x14ac:dyDescent="0.35">
      <c r="A3" t="s">
        <v>1</v>
      </c>
      <c r="B3" t="str">
        <f>M2</f>
        <v>Agilent ICP Co</v>
      </c>
      <c r="I3" s="10" t="str">
        <f>"Hotplate: " &amp; N2</f>
        <v>Hotplate: WI-2026</v>
      </c>
      <c r="J3" s="10"/>
      <c r="K3" s="10"/>
      <c r="L3" s="10"/>
      <c r="M3" s="10"/>
      <c r="N3" s="10"/>
      <c r="O3" s="10"/>
      <c r="P3" s="10"/>
      <c r="Q3" s="10"/>
    </row>
    <row r="4" spans="1:17" x14ac:dyDescent="0.35">
      <c r="I4" s="10" t="str">
        <f>"None: " &amp; N2</f>
        <v>None: WI-2026</v>
      </c>
      <c r="J4" s="10"/>
      <c r="K4" s="10"/>
      <c r="L4" s="10"/>
      <c r="M4" s="10"/>
      <c r="N4" s="10"/>
      <c r="O4" s="10"/>
      <c r="P4" s="10"/>
      <c r="Q4" s="10"/>
    </row>
    <row r="5" spans="1:17" x14ac:dyDescent="0.35">
      <c r="A5" s="5" t="s">
        <v>2</v>
      </c>
      <c r="B5" s="5" t="s">
        <v>9</v>
      </c>
      <c r="C5" s="5" t="s">
        <v>10</v>
      </c>
      <c r="D5" s="5" t="s">
        <v>16</v>
      </c>
      <c r="E5" s="5" t="s">
        <v>3</v>
      </c>
      <c r="F5" s="5" t="s">
        <v>4</v>
      </c>
    </row>
    <row r="6" spans="1:17" x14ac:dyDescent="0.35">
      <c r="A6" s="6">
        <f>L2</f>
        <v>200127169</v>
      </c>
      <c r="B6" s="6">
        <v>2</v>
      </c>
      <c r="C6" s="6">
        <v>2.2000000000000002</v>
      </c>
      <c r="D6" s="6">
        <v>2.2000000000000002</v>
      </c>
      <c r="E6" s="7">
        <f>(((C6-B6)-(D6-B6))/(C6-B6))*100</f>
        <v>0</v>
      </c>
      <c r="F6" s="8">
        <f>1-(E6/100)</f>
        <v>1</v>
      </c>
    </row>
    <row r="7" spans="1:17" x14ac:dyDescent="0.35">
      <c r="A7" s="9"/>
      <c r="B7" s="10"/>
      <c r="C7" s="10"/>
      <c r="D7" s="10"/>
      <c r="E7" s="10"/>
      <c r="F7" s="10"/>
    </row>
    <row r="8" spans="1:17" x14ac:dyDescent="0.35">
      <c r="A8" s="1" t="s">
        <v>5</v>
      </c>
      <c r="B8" t="s">
        <v>38</v>
      </c>
      <c r="C8" t="s">
        <v>32</v>
      </c>
    </row>
    <row r="9" spans="1:17" ht="16.5" x14ac:dyDescent="0.45">
      <c r="A9" s="5" t="s">
        <v>2</v>
      </c>
      <c r="B9" s="5" t="s">
        <v>6</v>
      </c>
      <c r="C9" s="5" t="s">
        <v>7</v>
      </c>
      <c r="D9" s="9" t="s">
        <v>11</v>
      </c>
      <c r="E9" s="9" t="s">
        <v>12</v>
      </c>
      <c r="F9" s="9" t="s">
        <v>18</v>
      </c>
      <c r="G9" s="9" t="s">
        <v>19</v>
      </c>
      <c r="H9" s="9" t="s">
        <v>13</v>
      </c>
      <c r="I9" s="9" t="s">
        <v>14</v>
      </c>
      <c r="J9" s="9" t="s">
        <v>15</v>
      </c>
    </row>
    <row r="10" spans="1:17" x14ac:dyDescent="0.35">
      <c r="A10" s="6">
        <f>L2</f>
        <v>200127169</v>
      </c>
      <c r="B10" s="6"/>
      <c r="C10" s="6"/>
      <c r="D10" s="9"/>
      <c r="E10" s="9"/>
      <c r="F10" s="9"/>
      <c r="G10" s="9"/>
      <c r="H10" s="9"/>
      <c r="I10" s="9"/>
      <c r="J10" s="9"/>
    </row>
    <row r="11" spans="1:17" x14ac:dyDescent="0.35">
      <c r="A11" s="6">
        <f>L2</f>
        <v>200127169</v>
      </c>
      <c r="B11" s="6"/>
      <c r="C11" s="6"/>
      <c r="D11" s="10"/>
      <c r="E11" s="10"/>
      <c r="F11" s="10"/>
      <c r="G11" s="10"/>
      <c r="H11" s="10"/>
      <c r="I11" s="10"/>
      <c r="J11" s="11"/>
    </row>
    <row r="12" spans="1:17" x14ac:dyDescent="0.35">
      <c r="A12" s="6">
        <f>L2</f>
        <v>200127169</v>
      </c>
      <c r="B12" s="6"/>
      <c r="C12" s="6"/>
      <c r="D12" s="10"/>
      <c r="E12" s="10"/>
      <c r="F12" s="10"/>
      <c r="G12" s="10"/>
      <c r="H12" s="10"/>
      <c r="I12" s="10"/>
      <c r="J12" s="10"/>
    </row>
    <row r="13" spans="1:17" x14ac:dyDescent="0.35">
      <c r="D13" s="10"/>
      <c r="E13" s="10"/>
      <c r="F13" s="10"/>
      <c r="G13" s="10"/>
      <c r="H13" s="10"/>
      <c r="I13" s="10"/>
      <c r="J13" s="10"/>
    </row>
    <row r="14" spans="1:17" x14ac:dyDescent="0.35">
      <c r="A14" s="1"/>
    </row>
    <row r="15" spans="1:17" x14ac:dyDescent="0.35">
      <c r="A15" s="5" t="s">
        <v>2</v>
      </c>
      <c r="B15" s="5" t="s">
        <v>8</v>
      </c>
      <c r="C15" s="5" t="str">
        <f>O2&amp;" "&amp;"[mg/L]"</f>
        <v>Co [mg/L]</v>
      </c>
      <c r="D15" s="5" t="str">
        <f>O2&amp;" "&amp;"[%]"</f>
        <v>Co [%]</v>
      </c>
      <c r="E15" s="5" t="str">
        <f>O2&amp;" "&amp;"[%][dried]"</f>
        <v>Co [%][dried]</v>
      </c>
      <c r="F15" s="1"/>
    </row>
    <row r="16" spans="1:17" x14ac:dyDescent="0.35">
      <c r="A16">
        <f>L2</f>
        <v>200127169</v>
      </c>
      <c r="B16" t="str">
        <f>"1/1"</f>
        <v>1/1</v>
      </c>
      <c r="C16">
        <v>0.69199999999999995</v>
      </c>
      <c r="D16" s="2" t="e">
        <f>((C16*C10)*(LEFT(B16,FIND("/",B16)-1)/RIGHT(B16,LEN(B16)-FIND("/",B16)))/(B10*10^4))</f>
        <v>#DIV/0!</v>
      </c>
      <c r="E16" s="23" t="e">
        <f>D16/F$6</f>
        <v>#DIV/0!</v>
      </c>
      <c r="F16" s="1"/>
    </row>
    <row r="17" spans="1:6" x14ac:dyDescent="0.35">
      <c r="A17">
        <f>L2</f>
        <v>200127169</v>
      </c>
      <c r="B17" t="str">
        <f t="shared" ref="B17:B18" si="0">"1/1"</f>
        <v>1/1</v>
      </c>
      <c r="C17">
        <v>0.69399999999999995</v>
      </c>
      <c r="D17" s="2" t="e">
        <f t="shared" ref="D17:D18" si="1">((C17*C11)*(LEFT(B17,FIND("/",B17)-1)/RIGHT(B17,LEN(B17)-FIND("/",B17)))/(B11*10^4))</f>
        <v>#DIV/0!</v>
      </c>
      <c r="E17" s="23" t="e">
        <f t="shared" ref="E17:E18" si="2">D17/F$6</f>
        <v>#DIV/0!</v>
      </c>
    </row>
    <row r="18" spans="1:6" x14ac:dyDescent="0.35">
      <c r="A18">
        <f>L2</f>
        <v>200127169</v>
      </c>
      <c r="B18" t="str">
        <f t="shared" si="0"/>
        <v>1/1</v>
      </c>
      <c r="C18">
        <v>0.64500000000000002</v>
      </c>
      <c r="D18" s="2" t="e">
        <f t="shared" si="1"/>
        <v>#DIV/0!</v>
      </c>
      <c r="E18" s="23" t="e">
        <f t="shared" si="2"/>
        <v>#DIV/0!</v>
      </c>
    </row>
    <row r="19" spans="1:6" x14ac:dyDescent="0.35">
      <c r="D19" s="2" t="e">
        <f>AVERAGE(D17:D18)</f>
        <v>#DIV/0!</v>
      </c>
      <c r="E19" s="23" t="e">
        <f>AVERAGE(E17:E18)</f>
        <v>#DIV/0!</v>
      </c>
      <c r="F19" s="1"/>
    </row>
    <row r="20" spans="1:6" x14ac:dyDescent="0.35">
      <c r="E20" s="10"/>
    </row>
    <row r="21" spans="1:6" x14ac:dyDescent="0.35">
      <c r="A21" s="28" t="s">
        <v>34</v>
      </c>
      <c r="B21" s="28"/>
      <c r="C21" s="28"/>
      <c r="D21" s="28"/>
      <c r="E21" s="28"/>
    </row>
    <row r="22" spans="1:6" x14ac:dyDescent="0.35">
      <c r="A22" s="29"/>
      <c r="B22" s="29"/>
      <c r="C22" s="29"/>
      <c r="D22" s="29"/>
      <c r="E22" s="29"/>
    </row>
    <row r="37" spans="1:1" x14ac:dyDescent="0.35">
      <c r="A37" s="3" t="s">
        <v>27</v>
      </c>
    </row>
  </sheetData>
  <mergeCells count="2">
    <mergeCell ref="A21:E21"/>
    <mergeCell ref="A22:E22"/>
  </mergeCells>
  <phoneticPr fontId="4" type="noConversion"/>
  <conditionalFormatting sqref="A21:E21">
    <cfRule type="containsText" dxfId="0" priority="1" operator="containsText" text="enter lot number">
      <formula>NOT(ISERROR(SEARCH("enter lot number",A21)))</formula>
    </cfRule>
  </conditionalFormatting>
  <dataValidations count="2">
    <dataValidation type="list" allowBlank="1" showInputMessage="1" showErrorMessage="1" sqref="B8" xr:uid="{BA59DF1D-3D2C-4589-9437-25D8F1BB4CEE}">
      <formula1>$I$1:$I$4</formula1>
    </dataValidation>
    <dataValidation allowBlank="1" showInputMessage="1" showErrorMessage="1" promptTitle="use for lot number" prompt="please enter lot number" sqref="A21:A22" xr:uid="{016EA2AF-28A3-44D8-A3F0-F9BEC4E2F4E6}"/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%M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Archemetre</dc:creator>
  <cp:lastModifiedBy>Carl Archemetre</cp:lastModifiedBy>
  <dcterms:created xsi:type="dcterms:W3CDTF">2026-03-12T19:50:23Z</dcterms:created>
  <dcterms:modified xsi:type="dcterms:W3CDTF">2026-04-10T03:49:09Z</dcterms:modified>
</cp:coreProperties>
</file>