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gestion_page" sheetId="1" r:id="rId1"/>
    <sheet name="200120001" sheetId="2" r:id="rId2"/>
    <sheet name="200120002" sheetId="3" r:id="rId3"/>
    <sheet name="200120003" sheetId="4" r:id="rId4"/>
    <sheet name="formula_page" sheetId="5" r:id="rId5"/>
  </sheets>
  <calcPr calcId="124519" fullCalcOnLoad="1"/>
</workbook>
</file>

<file path=xl/sharedStrings.xml><?xml version="1.0" encoding="utf-8"?>
<sst xmlns="http://schemas.openxmlformats.org/spreadsheetml/2006/main" count="201" uniqueCount="67">
  <si>
    <t>Date:</t>
  </si>
  <si>
    <t>Request ID:</t>
  </si>
  <si>
    <t>TEST</t>
  </si>
  <si>
    <t>Katanax</t>
  </si>
  <si>
    <t>Analyte(s)</t>
  </si>
  <si>
    <t>Ca, Cu</t>
  </si>
  <si>
    <t>SOP#</t>
  </si>
  <si>
    <t>Acid Cocktail</t>
  </si>
  <si>
    <t>sample(s)</t>
  </si>
  <si>
    <t>weight (g)</t>
  </si>
  <si>
    <t>volume (mL)</t>
  </si>
  <si>
    <t>200120001_1</t>
  </si>
  <si>
    <t>200120001_2</t>
  </si>
  <si>
    <t>200120002_1</t>
  </si>
  <si>
    <t>200120002_2</t>
  </si>
  <si>
    <t>Cu, Al</t>
  </si>
  <si>
    <t>200120002_3</t>
  </si>
  <si>
    <t>200120002_4</t>
  </si>
  <si>
    <t>Al</t>
  </si>
  <si>
    <t>200120002_5</t>
  </si>
  <si>
    <t>200120002_6</t>
  </si>
  <si>
    <t>NH3</t>
  </si>
  <si>
    <t>200120003_1</t>
  </si>
  <si>
    <t>200120003_2</t>
  </si>
  <si>
    <t>Cu</t>
  </si>
  <si>
    <t>LOI temp:</t>
  </si>
  <si>
    <t>sample</t>
  </si>
  <si>
    <t>crucible (g)</t>
  </si>
  <si>
    <t>crucible + sample (g)</t>
  </si>
  <si>
    <t>LOI (%)</t>
  </si>
  <si>
    <t>correction</t>
  </si>
  <si>
    <t>200120001</t>
  </si>
  <si>
    <t>Ca ICP analysis</t>
  </si>
  <si>
    <t>Dilution</t>
  </si>
  <si>
    <t>conc. [mg/L]</t>
  </si>
  <si>
    <t>Ca_ppm [dried]</t>
  </si>
  <si>
    <t>%Ca [dried]</t>
  </si>
  <si>
    <t>ca result:</t>
  </si>
  <si>
    <t>ca lot:</t>
  </si>
  <si>
    <t>Cu ICP analysis</t>
  </si>
  <si>
    <t>Cu_ppm [dried]</t>
  </si>
  <si>
    <t>%Cu [dried]</t>
  </si>
  <si>
    <t>cu result:</t>
  </si>
  <si>
    <t>cu lot:</t>
  </si>
  <si>
    <t>Manufacturer: Assurance, 28-35CAY exp: 2026-10-30</t>
  </si>
  <si>
    <t>Manufacturer: Assurance, 28-83CUT exp: 2026-09-30</t>
  </si>
  <si>
    <t>Note(s):</t>
  </si>
  <si>
    <t>200120002</t>
  </si>
  <si>
    <t>Al ICP analysis</t>
  </si>
  <si>
    <t>Al_ppm [dried]</t>
  </si>
  <si>
    <t>%Al [dried]</t>
  </si>
  <si>
    <t>al result:</t>
  </si>
  <si>
    <t>al lot:</t>
  </si>
  <si>
    <t>200120003</t>
  </si>
  <si>
    <t>NH3 ISE analysis</t>
  </si>
  <si>
    <t>NH3_ppm [dried]</t>
  </si>
  <si>
    <t>%NH3 [dried]</t>
  </si>
  <si>
    <t>nh3 result:</t>
  </si>
  <si>
    <t>nh3 lot:</t>
  </si>
  <si>
    <t>ppm M+ = [conc.][volume][dilution]/[weight]</t>
  </si>
  <si>
    <t>%M+ = [conc.][volume][dilution]/([weight]*10,000)</t>
  </si>
  <si>
    <t>A = crucible</t>
  </si>
  <si>
    <t>B = crucible + sample</t>
  </si>
  <si>
    <t>C = crucible + sample after drying</t>
  </si>
  <si>
    <t>%LOI = ([B-A]-[C-A])/(B-A)*100%</t>
  </si>
  <si>
    <t>ppm M+  [dried] = ppm M+/([1-(%LOI)/100])</t>
  </si>
  <si>
    <t>%M+  [dried] = %M+/([1-(%LOI)/100])</t>
  </si>
</sst>
</file>

<file path=xl/styles.xml><?xml version="1.0" encoding="utf-8"?>
<styleSheet xmlns="http://schemas.openxmlformats.org/spreadsheetml/2006/main">
  <numFmts count="7">
    <numFmt numFmtId="164" formatCode="yyyy-mm-dd"/>
    <numFmt numFmtId="165" formatCode="0.0000"/>
    <numFmt numFmtId="166" formatCode="######&quot; °C&quot;"/>
    <numFmt numFmtId="167" formatCode="0.00"/>
    <numFmt numFmtId="168" formatCode="0.000"/>
    <numFmt numFmtId="169" formatCode="0.00&quot; ppm&quot;"/>
    <numFmt numFmtId="170" formatCode="0.00&quot; %&quot;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right"/>
    </xf>
    <xf numFmtId="166" fontId="0" fillId="0" borderId="0" xfId="0" applyNumberFormat="1"/>
    <xf numFmtId="167" fontId="0" fillId="0" borderId="1" xfId="0" applyNumberFormat="1" applyBorder="1"/>
    <xf numFmtId="168" fontId="0" fillId="0" borderId="1" xfId="0" applyNumberFormat="1" applyBorder="1"/>
    <xf numFmtId="0" fontId="2" fillId="0" borderId="0" xfId="0" applyFont="1"/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1">
    <dxf>
      <fill>
        <patternFill>
          <bgColor rgb="FFFFFF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cols>
    <col min="1" max="1" width="12.7109375" customWidth="1"/>
    <col min="2" max="2" width="10.7109375" bestFit="1" customWidth="1"/>
    <col min="3" max="3" width="12.140625" bestFit="1" customWidth="1"/>
  </cols>
  <sheetData>
    <row r="1" spans="1:3">
      <c r="A1" s="1" t="s">
        <v>0</v>
      </c>
      <c r="B1" s="2">
        <v>46265</v>
      </c>
    </row>
    <row r="2" spans="1:3">
      <c r="A2" s="1" t="s">
        <v>1</v>
      </c>
      <c r="B2" s="3" t="s">
        <v>2</v>
      </c>
    </row>
    <row r="5" spans="1:3">
      <c r="A5" s="4" t="s">
        <v>3</v>
      </c>
      <c r="B5" s="4"/>
      <c r="C5" s="4"/>
    </row>
    <row r="6" spans="1:3">
      <c r="A6" s="5" t="s">
        <v>4</v>
      </c>
      <c r="B6" s="6" t="s">
        <v>5</v>
      </c>
      <c r="C6" s="6"/>
    </row>
    <row r="7" spans="1:3">
      <c r="A7" s="5" t="s">
        <v>6</v>
      </c>
      <c r="B7" s="6"/>
      <c r="C7" s="6"/>
    </row>
    <row r="8" spans="1:3">
      <c r="A8" s="5" t="s">
        <v>7</v>
      </c>
      <c r="B8" s="6"/>
      <c r="C8" s="6"/>
    </row>
    <row r="9" spans="1:3">
      <c r="A9" s="5" t="s">
        <v>8</v>
      </c>
      <c r="B9" s="5" t="s">
        <v>9</v>
      </c>
      <c r="C9" s="5" t="s">
        <v>10</v>
      </c>
    </row>
    <row r="10" spans="1:3">
      <c r="A10" s="5" t="s">
        <v>11</v>
      </c>
      <c r="B10" s="7"/>
      <c r="C10" s="6">
        <v>250</v>
      </c>
    </row>
    <row r="11" spans="1:3">
      <c r="A11" s="5" t="s">
        <v>12</v>
      </c>
      <c r="B11" s="7"/>
      <c r="C11" s="6">
        <v>250</v>
      </c>
    </row>
    <row r="12" spans="1:3">
      <c r="A12" s="5" t="s">
        <v>13</v>
      </c>
      <c r="B12" s="7"/>
      <c r="C12" s="6">
        <v>250</v>
      </c>
    </row>
    <row r="13" spans="1:3">
      <c r="A13" s="5" t="s">
        <v>14</v>
      </c>
      <c r="B13" s="7"/>
      <c r="C13" s="6">
        <v>250</v>
      </c>
    </row>
    <row r="16" spans="1:3">
      <c r="A16" s="4" t="s">
        <v>3</v>
      </c>
      <c r="B16" s="4"/>
      <c r="C16" s="4"/>
    </row>
    <row r="17" spans="1:3">
      <c r="A17" s="5" t="s">
        <v>4</v>
      </c>
      <c r="B17" s="6" t="s">
        <v>15</v>
      </c>
      <c r="C17" s="6"/>
    </row>
    <row r="18" spans="1:3">
      <c r="A18" s="5" t="s">
        <v>6</v>
      </c>
      <c r="B18" s="6"/>
      <c r="C18" s="6"/>
    </row>
    <row r="19" spans="1:3">
      <c r="A19" s="5" t="s">
        <v>7</v>
      </c>
      <c r="B19" s="6"/>
      <c r="C19" s="6"/>
    </row>
    <row r="20" spans="1:3">
      <c r="A20" s="5" t="s">
        <v>8</v>
      </c>
      <c r="B20" s="5" t="s">
        <v>9</v>
      </c>
      <c r="C20" s="5" t="s">
        <v>10</v>
      </c>
    </row>
    <row r="21" spans="1:3">
      <c r="A21" s="5" t="s">
        <v>16</v>
      </c>
      <c r="B21" s="7"/>
      <c r="C21" s="6">
        <v>250</v>
      </c>
    </row>
    <row r="22" spans="1:3">
      <c r="A22" s="5" t="s">
        <v>17</v>
      </c>
      <c r="B22" s="7"/>
      <c r="C22" s="6">
        <v>250</v>
      </c>
    </row>
    <row r="25" spans="1:3">
      <c r="A25" s="4" t="s">
        <v>3</v>
      </c>
      <c r="B25" s="4"/>
      <c r="C25" s="4"/>
    </row>
    <row r="26" spans="1:3">
      <c r="A26" s="5" t="s">
        <v>4</v>
      </c>
      <c r="B26" s="6" t="s">
        <v>18</v>
      </c>
      <c r="C26" s="6"/>
    </row>
    <row r="27" spans="1:3">
      <c r="A27" s="5" t="s">
        <v>6</v>
      </c>
      <c r="B27" s="6"/>
      <c r="C27" s="6"/>
    </row>
    <row r="28" spans="1:3">
      <c r="A28" s="5" t="s">
        <v>7</v>
      </c>
      <c r="B28" s="6"/>
      <c r="C28" s="6"/>
    </row>
    <row r="29" spans="1:3">
      <c r="A29" s="5" t="s">
        <v>8</v>
      </c>
      <c r="B29" s="5" t="s">
        <v>9</v>
      </c>
      <c r="C29" s="5" t="s">
        <v>10</v>
      </c>
    </row>
    <row r="30" spans="1:3">
      <c r="A30" s="5" t="s">
        <v>19</v>
      </c>
      <c r="B30" s="7"/>
      <c r="C30" s="6">
        <v>250</v>
      </c>
    </row>
    <row r="31" spans="1:3">
      <c r="A31" s="5" t="s">
        <v>20</v>
      </c>
      <c r="B31" s="7"/>
      <c r="C31" s="6">
        <v>250</v>
      </c>
    </row>
    <row r="34" spans="1:3">
      <c r="A34" s="4" t="s">
        <v>3</v>
      </c>
      <c r="B34" s="4"/>
      <c r="C34" s="4"/>
    </row>
    <row r="35" spans="1:3">
      <c r="A35" s="5" t="s">
        <v>4</v>
      </c>
      <c r="B35" s="6" t="s">
        <v>21</v>
      </c>
      <c r="C35" s="6"/>
    </row>
    <row r="36" spans="1:3">
      <c r="A36" s="5" t="s">
        <v>6</v>
      </c>
      <c r="B36" s="6"/>
      <c r="C36" s="6"/>
    </row>
    <row r="37" spans="1:3">
      <c r="A37" s="5" t="s">
        <v>7</v>
      </c>
      <c r="B37" s="6"/>
      <c r="C37" s="6"/>
    </row>
    <row r="38" spans="1:3">
      <c r="A38" s="5" t="s">
        <v>8</v>
      </c>
      <c r="B38" s="5" t="s">
        <v>9</v>
      </c>
      <c r="C38" s="5" t="s">
        <v>10</v>
      </c>
    </row>
    <row r="39" spans="1:3">
      <c r="A39" s="5" t="s">
        <v>22</v>
      </c>
      <c r="B39" s="7"/>
      <c r="C39" s="6">
        <v>250</v>
      </c>
    </row>
    <row r="40" spans="1:3">
      <c r="A40" s="5" t="s">
        <v>23</v>
      </c>
      <c r="B40" s="7"/>
      <c r="C40" s="6">
        <v>250</v>
      </c>
    </row>
    <row r="43" spans="1:3">
      <c r="A43" s="4" t="s">
        <v>3</v>
      </c>
      <c r="B43" s="4"/>
      <c r="C43" s="4"/>
    </row>
    <row r="44" spans="1:3">
      <c r="A44" s="5" t="s">
        <v>4</v>
      </c>
      <c r="B44" s="6" t="s">
        <v>24</v>
      </c>
      <c r="C44" s="6"/>
    </row>
    <row r="45" spans="1:3">
      <c r="A45" s="5" t="s">
        <v>6</v>
      </c>
      <c r="B45" s="6"/>
      <c r="C45" s="6"/>
    </row>
    <row r="46" spans="1:3">
      <c r="A46" s="5" t="s">
        <v>7</v>
      </c>
      <c r="B46" s="6"/>
      <c r="C46" s="6"/>
    </row>
    <row r="47" spans="1:3">
      <c r="A47" s="5" t="s">
        <v>8</v>
      </c>
      <c r="B47" s="5" t="s">
        <v>9</v>
      </c>
      <c r="C47" s="5" t="s">
        <v>10</v>
      </c>
    </row>
    <row r="48" spans="1:3">
      <c r="A48" s="5" t="s">
        <v>19</v>
      </c>
      <c r="B48" s="7"/>
      <c r="C48" s="6">
        <v>250</v>
      </c>
    </row>
    <row r="49" spans="1:3">
      <c r="A49" s="5" t="s">
        <v>20</v>
      </c>
      <c r="B49" s="7"/>
      <c r="C49" s="6">
        <v>250</v>
      </c>
    </row>
  </sheetData>
  <mergeCells count="20">
    <mergeCell ref="A5:C5"/>
    <mergeCell ref="B6:C6"/>
    <mergeCell ref="B7:C7"/>
    <mergeCell ref="B8:C8"/>
    <mergeCell ref="A16:C16"/>
    <mergeCell ref="B17:C17"/>
    <mergeCell ref="B18:C18"/>
    <mergeCell ref="B19:C19"/>
    <mergeCell ref="A25:C25"/>
    <mergeCell ref="B26:C26"/>
    <mergeCell ref="B27:C27"/>
    <mergeCell ref="B28:C28"/>
    <mergeCell ref="A34:C34"/>
    <mergeCell ref="B35:C35"/>
    <mergeCell ref="B36:C36"/>
    <mergeCell ref="B37:C37"/>
    <mergeCell ref="A43:C43"/>
    <mergeCell ref="B44:C44"/>
    <mergeCell ref="B45:C45"/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1" width="14" bestFit="1" customWidth="1"/>
    <col min="2" max="2" width="10.85546875" bestFit="1" customWidth="1"/>
    <col min="3" max="3" width="19.140625" bestFit="1" customWidth="1"/>
    <col min="4" max="4" width="14.85546875" bestFit="1" customWidth="1"/>
    <col min="5" max="5" width="11.42578125" bestFit="1" customWidth="1"/>
    <col min="6" max="6" width="10" bestFit="1" customWidth="1"/>
    <col min="7" max="19" width="7.7109375" customWidth="1"/>
  </cols>
  <sheetData>
    <row r="1" spans="1:9">
      <c r="A1" s="1" t="s">
        <v>0</v>
      </c>
      <c r="B1" s="2">
        <v>46265</v>
      </c>
    </row>
    <row r="2" spans="1:9">
      <c r="A2" s="1" t="s">
        <v>1</v>
      </c>
      <c r="B2" s="3" t="s">
        <v>2</v>
      </c>
    </row>
    <row r="5" spans="1:9">
      <c r="A5" s="8" t="s">
        <v>25</v>
      </c>
      <c r="B5" s="9"/>
    </row>
    <row r="6" spans="1:9">
      <c r="A6" s="5" t="s">
        <v>26</v>
      </c>
      <c r="B6" s="5" t="s">
        <v>27</v>
      </c>
      <c r="C6" s="5" t="s">
        <v>28</v>
      </c>
      <c r="D6" s="5">
        <f>"after "&amp;B5&amp;" °C"</f>
        <v>0</v>
      </c>
      <c r="E6" s="5" t="s">
        <v>29</v>
      </c>
      <c r="F6" s="5" t="s">
        <v>30</v>
      </c>
    </row>
    <row r="7" spans="1:9">
      <c r="A7" s="5" t="s">
        <v>31</v>
      </c>
      <c r="B7" s="7"/>
      <c r="C7" s="7"/>
      <c r="D7" s="7"/>
      <c r="E7" s="10">
        <f>(((C7-B7)-(D7-B7))/(C7-B7))*100</f>
        <v>0</v>
      </c>
      <c r="F7" s="7">
        <f>1-(E7/100)</f>
        <v>0</v>
      </c>
    </row>
    <row r="9" spans="1:9">
      <c r="A9" s="3" t="s">
        <v>32</v>
      </c>
      <c r="B9" s="3"/>
    </row>
    <row r="10" spans="1:9">
      <c r="A10" s="5" t="s">
        <v>26</v>
      </c>
      <c r="B10" s="5" t="s">
        <v>33</v>
      </c>
      <c r="C10" s="5" t="s">
        <v>34</v>
      </c>
      <c r="D10" s="5" t="s">
        <v>35</v>
      </c>
      <c r="E10" s="5" t="s">
        <v>36</v>
      </c>
    </row>
    <row r="11" spans="1:9">
      <c r="A11" s="5" t="s">
        <v>11</v>
      </c>
      <c r="B11" s="6">
        <f>"1/1"</f>
        <v>0</v>
      </c>
      <c r="C11" s="11"/>
      <c r="D11" s="10">
        <f>((C11)*(H11)*(I11))/(G11*$F$7)</f>
        <v>0</v>
      </c>
      <c r="E11" s="10">
        <f>D11/10000</f>
        <v>0</v>
      </c>
      <c r="G11" s="12">
        <f>digestion_page!B10</f>
        <v>0</v>
      </c>
      <c r="H11" s="12">
        <f>digestion_page!C10</f>
        <v>0</v>
      </c>
      <c r="I11" s="12">
        <f>(LEFT(B11,FIND("/",B11)-1)/RIGHT(B11,LEN(B11)-FIND("/", B11)))</f>
        <v>0</v>
      </c>
    </row>
    <row r="12" spans="1:9">
      <c r="A12" s="5" t="s">
        <v>12</v>
      </c>
      <c r="B12" s="6">
        <f>"1/1"</f>
        <v>0</v>
      </c>
      <c r="C12" s="11"/>
      <c r="D12" s="10">
        <f>((C12)*(H12)*(I12))/(G12*$F$7)</f>
        <v>0</v>
      </c>
      <c r="E12" s="10">
        <f>D12/10000</f>
        <v>0</v>
      </c>
      <c r="G12" s="12">
        <f>digestion_page!B11</f>
        <v>0</v>
      </c>
      <c r="H12" s="12">
        <f>digestion_page!C11</f>
        <v>0</v>
      </c>
      <c r="I12" s="12">
        <f>(LEFT(B12,FIND("/",B12)-1)/RIGHT(B12,LEN(B12)-FIND("/", B12)))</f>
        <v>0</v>
      </c>
    </row>
    <row r="14" spans="1:9">
      <c r="A14" s="8" t="s">
        <v>37</v>
      </c>
      <c r="B14" s="8"/>
      <c r="C14" s="13">
        <f>AVERAGE(D11:D12)</f>
        <v>0</v>
      </c>
    </row>
    <row r="15" spans="1:9">
      <c r="A15" s="8" t="s">
        <v>37</v>
      </c>
      <c r="B15" s="8"/>
      <c r="C15" s="14">
        <f>AVERAGE(E11:E12)</f>
        <v>0</v>
      </c>
    </row>
    <row r="16" spans="1:9">
      <c r="A16" s="8" t="s">
        <v>38</v>
      </c>
      <c r="B16" s="8"/>
      <c r="C16" s="15" t="s">
        <v>44</v>
      </c>
      <c r="D16" s="15"/>
      <c r="E16" s="15"/>
      <c r="F16" s="15"/>
    </row>
    <row r="18" spans="1:9">
      <c r="A18" s="3" t="s">
        <v>39</v>
      </c>
      <c r="B18" s="3"/>
    </row>
    <row r="19" spans="1:9">
      <c r="A19" s="5" t="s">
        <v>26</v>
      </c>
      <c r="B19" s="5" t="s">
        <v>33</v>
      </c>
      <c r="C19" s="5" t="s">
        <v>34</v>
      </c>
      <c r="D19" s="5" t="s">
        <v>40</v>
      </c>
      <c r="E19" s="5" t="s">
        <v>41</v>
      </c>
    </row>
    <row r="20" spans="1:9">
      <c r="A20" s="5" t="s">
        <v>11</v>
      </c>
      <c r="B20" s="6">
        <f>"1/1"</f>
        <v>0</v>
      </c>
      <c r="C20" s="11"/>
      <c r="D20" s="10">
        <f>((C20)*(H20)*(I20))/(G20*$F$7)</f>
        <v>0</v>
      </c>
      <c r="E20" s="10">
        <f>D20/10000</f>
        <v>0</v>
      </c>
      <c r="G20" s="12">
        <f>digestion_page!B10</f>
        <v>0</v>
      </c>
      <c r="H20" s="12">
        <f>digestion_page!C10</f>
        <v>0</v>
      </c>
      <c r="I20" s="12">
        <f>(LEFT(B20,FIND("/",B20)-1)/RIGHT(B20,LEN(B20)-FIND("/", B20)))</f>
        <v>0</v>
      </c>
    </row>
    <row r="21" spans="1:9">
      <c r="A21" s="5" t="s">
        <v>12</v>
      </c>
      <c r="B21" s="6">
        <f>"1/1"</f>
        <v>0</v>
      </c>
      <c r="C21" s="11"/>
      <c r="D21" s="10">
        <f>((C21)*(H21)*(I21))/(G21*$F$7)</f>
        <v>0</v>
      </c>
      <c r="E21" s="10">
        <f>D21/10000</f>
        <v>0</v>
      </c>
      <c r="G21" s="12">
        <f>digestion_page!B11</f>
        <v>0</v>
      </c>
      <c r="H21" s="12">
        <f>digestion_page!C11</f>
        <v>0</v>
      </c>
      <c r="I21" s="12">
        <f>(LEFT(B21,FIND("/",B21)-1)/RIGHT(B21,LEN(B21)-FIND("/", B21)))</f>
        <v>0</v>
      </c>
    </row>
    <row r="23" spans="1:9">
      <c r="A23" s="8" t="s">
        <v>42</v>
      </c>
      <c r="B23" s="8"/>
      <c r="C23" s="13">
        <f>AVERAGE(D20:D21)</f>
        <v>0</v>
      </c>
    </row>
    <row r="24" spans="1:9">
      <c r="A24" s="8" t="s">
        <v>42</v>
      </c>
      <c r="B24" s="8"/>
      <c r="C24" s="14">
        <f>AVERAGE(E20:E21)</f>
        <v>0</v>
      </c>
    </row>
    <row r="25" spans="1:9">
      <c r="A25" s="8" t="s">
        <v>43</v>
      </c>
      <c r="B25" s="8"/>
      <c r="C25" s="15" t="s">
        <v>45</v>
      </c>
      <c r="D25" s="15"/>
      <c r="E25" s="15"/>
      <c r="F25" s="15"/>
    </row>
    <row r="27" spans="1:9">
      <c r="B27" s="8" t="s">
        <v>46</v>
      </c>
      <c r="C27" s="16"/>
      <c r="D27" s="16"/>
      <c r="E27" s="16"/>
      <c r="F27" s="16"/>
    </row>
    <row r="28" spans="1:9">
      <c r="C28" s="16"/>
      <c r="D28" s="16"/>
      <c r="E28" s="16"/>
      <c r="F28" s="16"/>
    </row>
    <row r="29" spans="1:9">
      <c r="C29" s="16"/>
      <c r="D29" s="16"/>
      <c r="E29" s="16"/>
      <c r="F29" s="16"/>
    </row>
  </sheetData>
  <mergeCells count="11">
    <mergeCell ref="A9:B9"/>
    <mergeCell ref="A14:B14"/>
    <mergeCell ref="A15:B15"/>
    <mergeCell ref="A16:B16"/>
    <mergeCell ref="C16:F16"/>
    <mergeCell ref="A18:B18"/>
    <mergeCell ref="A23:B23"/>
    <mergeCell ref="A24:B24"/>
    <mergeCell ref="A25:B25"/>
    <mergeCell ref="C25:F25"/>
    <mergeCell ref="C27:F29"/>
  </mergeCells>
  <conditionalFormatting sqref="B5">
    <cfRule type="containsBlanks" dxfId="0" priority="1">
      <formula>LEN(TRIM(B5))=0</formula>
    </cfRule>
  </conditionalFormatting>
  <conditionalFormatting sqref="C16:F16">
    <cfRule type="containsBlanks" dxfId="0" priority="2">
      <formula>LEN(TRIM(C16))=0</formula>
    </cfRule>
  </conditionalFormatting>
  <conditionalFormatting sqref="C25:F25">
    <cfRule type="containsBlanks" dxfId="0" priority="3">
      <formula>LEN(TRIM(C25))=0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cols>
    <col min="1" max="1" width="14" bestFit="1" customWidth="1"/>
    <col min="2" max="2" width="10.85546875" bestFit="1" customWidth="1"/>
    <col min="3" max="3" width="19.140625" bestFit="1" customWidth="1"/>
    <col min="4" max="4" width="14.85546875" bestFit="1" customWidth="1"/>
    <col min="5" max="5" width="11.42578125" bestFit="1" customWidth="1"/>
    <col min="6" max="6" width="10" bestFit="1" customWidth="1"/>
    <col min="7" max="55" width="7.7109375" customWidth="1"/>
  </cols>
  <sheetData>
    <row r="1" spans="1:9">
      <c r="A1" s="1" t="s">
        <v>0</v>
      </c>
      <c r="B1" s="2">
        <v>46265</v>
      </c>
    </row>
    <row r="2" spans="1:9">
      <c r="A2" s="1" t="s">
        <v>1</v>
      </c>
      <c r="B2" s="3" t="s">
        <v>2</v>
      </c>
    </row>
    <row r="5" spans="1:9">
      <c r="A5" s="8" t="s">
        <v>25</v>
      </c>
      <c r="B5" s="9"/>
    </row>
    <row r="6" spans="1:9">
      <c r="A6" s="5" t="s">
        <v>26</v>
      </c>
      <c r="B6" s="5" t="s">
        <v>27</v>
      </c>
      <c r="C6" s="5" t="s">
        <v>28</v>
      </c>
      <c r="D6" s="5">
        <f>"after "&amp;B5&amp;" °C"</f>
        <v>0</v>
      </c>
      <c r="E6" s="5" t="s">
        <v>29</v>
      </c>
      <c r="F6" s="5" t="s">
        <v>30</v>
      </c>
    </row>
    <row r="7" spans="1:9">
      <c r="A7" s="5" t="s">
        <v>47</v>
      </c>
      <c r="B7" s="7"/>
      <c r="C7" s="7"/>
      <c r="D7" s="7"/>
      <c r="E7" s="10">
        <f>(((C7-B7)-(D7-B7))/(C7-B7))*100</f>
        <v>0</v>
      </c>
      <c r="F7" s="7">
        <f>1-(E7/100)</f>
        <v>0</v>
      </c>
    </row>
    <row r="9" spans="1:9">
      <c r="A9" s="3" t="s">
        <v>48</v>
      </c>
      <c r="B9" s="3"/>
    </row>
    <row r="10" spans="1:9">
      <c r="A10" s="5" t="s">
        <v>26</v>
      </c>
      <c r="B10" s="5" t="s">
        <v>33</v>
      </c>
      <c r="C10" s="5" t="s">
        <v>34</v>
      </c>
      <c r="D10" s="5" t="s">
        <v>49</v>
      </c>
      <c r="E10" s="5" t="s">
        <v>50</v>
      </c>
    </row>
    <row r="11" spans="1:9">
      <c r="A11" s="5" t="s">
        <v>16</v>
      </c>
      <c r="B11" s="6">
        <f>"1/1"</f>
        <v>0</v>
      </c>
      <c r="C11" s="11"/>
      <c r="D11" s="10">
        <f>((C11)*(H11)*(I11))/(G11*$F$7)</f>
        <v>0</v>
      </c>
      <c r="E11" s="10">
        <f>D11/10000</f>
        <v>0</v>
      </c>
      <c r="G11" s="12">
        <f>digestion_page!B21</f>
        <v>0</v>
      </c>
      <c r="H11" s="12">
        <f>digestion_page!C21</f>
        <v>0</v>
      </c>
      <c r="I11" s="12">
        <f>(LEFT(B11,FIND("/",B11)-1)/RIGHT(B11,LEN(B11)-FIND("/", B11)))</f>
        <v>0</v>
      </c>
    </row>
    <row r="12" spans="1:9">
      <c r="A12" s="5" t="s">
        <v>17</v>
      </c>
      <c r="B12" s="6">
        <f>"1/1"</f>
        <v>0</v>
      </c>
      <c r="C12" s="11"/>
      <c r="D12" s="10">
        <f>((C12)*(H12)*(I12))/(G12*$F$7)</f>
        <v>0</v>
      </c>
      <c r="E12" s="10">
        <f>D12/10000</f>
        <v>0</v>
      </c>
      <c r="G12" s="12">
        <f>digestion_page!B22</f>
        <v>0</v>
      </c>
      <c r="H12" s="12">
        <f>digestion_page!C22</f>
        <v>0</v>
      </c>
      <c r="I12" s="12">
        <f>(LEFT(B12,FIND("/",B12)-1)/RIGHT(B12,LEN(B12)-FIND("/", B12)))</f>
        <v>0</v>
      </c>
    </row>
    <row r="14" spans="1:9">
      <c r="A14" s="8" t="s">
        <v>51</v>
      </c>
      <c r="B14" s="8"/>
      <c r="C14" s="13">
        <f>AVERAGE(D11:D12)</f>
        <v>0</v>
      </c>
    </row>
    <row r="15" spans="1:9">
      <c r="A15" s="8" t="s">
        <v>51</v>
      </c>
      <c r="B15" s="8"/>
      <c r="C15" s="14">
        <f>AVERAGE(E11:E12)</f>
        <v>0</v>
      </c>
    </row>
    <row r="16" spans="1:9">
      <c r="A16" s="8" t="s">
        <v>52</v>
      </c>
      <c r="B16" s="8"/>
      <c r="C16" s="15"/>
      <c r="D16" s="15"/>
      <c r="E16" s="15"/>
      <c r="F16" s="15"/>
    </row>
    <row r="18" spans="1:9">
      <c r="A18" s="3" t="s">
        <v>48</v>
      </c>
      <c r="B18" s="3"/>
    </row>
    <row r="19" spans="1:9">
      <c r="A19" s="5" t="s">
        <v>26</v>
      </c>
      <c r="B19" s="5" t="s">
        <v>33</v>
      </c>
      <c r="C19" s="5" t="s">
        <v>34</v>
      </c>
      <c r="D19" s="5" t="s">
        <v>49</v>
      </c>
      <c r="E19" s="5" t="s">
        <v>50</v>
      </c>
    </row>
    <row r="20" spans="1:9">
      <c r="A20" s="5" t="s">
        <v>19</v>
      </c>
      <c r="B20" s="6">
        <f>"1/1"</f>
        <v>0</v>
      </c>
      <c r="C20" s="11"/>
      <c r="D20" s="10">
        <f>((C20)*(H20)*(I20))/(G20*$F$7)</f>
        <v>0</v>
      </c>
      <c r="E20" s="10">
        <f>D20/10000</f>
        <v>0</v>
      </c>
      <c r="G20" s="12">
        <f>digestion_page!B30</f>
        <v>0</v>
      </c>
      <c r="H20" s="12">
        <f>digestion_page!C30</f>
        <v>0</v>
      </c>
      <c r="I20" s="12">
        <f>(LEFT(B20,FIND("/",B20)-1)/RIGHT(B20,LEN(B20)-FIND("/", B20)))</f>
        <v>0</v>
      </c>
    </row>
    <row r="21" spans="1:9">
      <c r="A21" s="5" t="s">
        <v>20</v>
      </c>
      <c r="B21" s="6">
        <f>"1/1"</f>
        <v>0</v>
      </c>
      <c r="C21" s="11"/>
      <c r="D21" s="10">
        <f>((C21)*(H21)*(I21))/(G21*$F$7)</f>
        <v>0</v>
      </c>
      <c r="E21" s="10">
        <f>D21/10000</f>
        <v>0</v>
      </c>
      <c r="G21" s="12">
        <f>digestion_page!B31</f>
        <v>0</v>
      </c>
      <c r="H21" s="12">
        <f>digestion_page!C31</f>
        <v>0</v>
      </c>
      <c r="I21" s="12">
        <f>(LEFT(B21,FIND("/",B21)-1)/RIGHT(B21,LEN(B21)-FIND("/", B21)))</f>
        <v>0</v>
      </c>
    </row>
    <row r="23" spans="1:9">
      <c r="A23" s="8" t="s">
        <v>51</v>
      </c>
      <c r="B23" s="8"/>
      <c r="C23" s="13">
        <f>AVERAGE(D20:D21)</f>
        <v>0</v>
      </c>
    </row>
    <row r="24" spans="1:9">
      <c r="A24" s="8" t="s">
        <v>51</v>
      </c>
      <c r="B24" s="8"/>
      <c r="C24" s="14">
        <f>AVERAGE(E20:E21)</f>
        <v>0</v>
      </c>
    </row>
    <row r="25" spans="1:9">
      <c r="A25" s="8" t="s">
        <v>52</v>
      </c>
      <c r="B25" s="8"/>
      <c r="C25" s="15"/>
      <c r="D25" s="15"/>
      <c r="E25" s="15"/>
      <c r="F25" s="15"/>
    </row>
    <row r="27" spans="1:9">
      <c r="A27" s="3" t="s">
        <v>32</v>
      </c>
      <c r="B27" s="3"/>
    </row>
    <row r="28" spans="1:9">
      <c r="A28" s="5" t="s">
        <v>26</v>
      </c>
      <c r="B28" s="5" t="s">
        <v>33</v>
      </c>
      <c r="C28" s="5" t="s">
        <v>34</v>
      </c>
      <c r="D28" s="5" t="s">
        <v>35</v>
      </c>
      <c r="E28" s="5" t="s">
        <v>36</v>
      </c>
    </row>
    <row r="29" spans="1:9">
      <c r="A29" s="5" t="s">
        <v>13</v>
      </c>
      <c r="B29" s="6">
        <f>"1/1"</f>
        <v>0</v>
      </c>
      <c r="C29" s="11"/>
      <c r="D29" s="10">
        <f>((C29)*(H29)*(I29))/(G29*$F$7)</f>
        <v>0</v>
      </c>
      <c r="E29" s="10">
        <f>D29/10000</f>
        <v>0</v>
      </c>
      <c r="G29" s="12">
        <f>digestion_page!B12</f>
        <v>0</v>
      </c>
      <c r="H29" s="12">
        <f>digestion_page!C12</f>
        <v>0</v>
      </c>
      <c r="I29" s="12">
        <f>(LEFT(B29,FIND("/",B29)-1)/RIGHT(B29,LEN(B29)-FIND("/", B29)))</f>
        <v>0</v>
      </c>
    </row>
    <row r="30" spans="1:9">
      <c r="A30" s="5" t="s">
        <v>14</v>
      </c>
      <c r="B30" s="6">
        <f>"1/1"</f>
        <v>0</v>
      </c>
      <c r="C30" s="11"/>
      <c r="D30" s="10">
        <f>((C30)*(H30)*(I30))/(G30*$F$7)</f>
        <v>0</v>
      </c>
      <c r="E30" s="10">
        <f>D30/10000</f>
        <v>0</v>
      </c>
      <c r="G30" s="12">
        <f>digestion_page!B13</f>
        <v>0</v>
      </c>
      <c r="H30" s="12">
        <f>digestion_page!C13</f>
        <v>0</v>
      </c>
      <c r="I30" s="12">
        <f>(LEFT(B30,FIND("/",B30)-1)/RIGHT(B30,LEN(B30)-FIND("/", B30)))</f>
        <v>0</v>
      </c>
    </row>
    <row r="32" spans="1:9">
      <c r="A32" s="8" t="s">
        <v>37</v>
      </c>
      <c r="B32" s="8"/>
      <c r="C32" s="13">
        <f>AVERAGE(D29:D30)</f>
        <v>0</v>
      </c>
    </row>
    <row r="33" spans="1:9">
      <c r="A33" s="8" t="s">
        <v>37</v>
      </c>
      <c r="B33" s="8"/>
      <c r="C33" s="14">
        <f>AVERAGE(E29:E30)</f>
        <v>0</v>
      </c>
    </row>
    <row r="34" spans="1:9">
      <c r="A34" s="8" t="s">
        <v>38</v>
      </c>
      <c r="B34" s="8"/>
      <c r="C34" s="15" t="s">
        <v>44</v>
      </c>
      <c r="D34" s="15"/>
      <c r="E34" s="15"/>
      <c r="F34" s="15"/>
    </row>
    <row r="36" spans="1:9">
      <c r="A36" s="3" t="s">
        <v>39</v>
      </c>
      <c r="B36" s="3"/>
    </row>
    <row r="37" spans="1:9">
      <c r="A37" s="5" t="s">
        <v>26</v>
      </c>
      <c r="B37" s="5" t="s">
        <v>33</v>
      </c>
      <c r="C37" s="5" t="s">
        <v>34</v>
      </c>
      <c r="D37" s="5" t="s">
        <v>40</v>
      </c>
      <c r="E37" s="5" t="s">
        <v>41</v>
      </c>
    </row>
    <row r="38" spans="1:9">
      <c r="A38" s="5" t="s">
        <v>13</v>
      </c>
      <c r="B38" s="6">
        <f>"1/1"</f>
        <v>0</v>
      </c>
      <c r="C38" s="11"/>
      <c r="D38" s="10">
        <f>((C38)*(H38)*(I38))/(G38*$F$7)</f>
        <v>0</v>
      </c>
      <c r="E38" s="10">
        <f>D38/10000</f>
        <v>0</v>
      </c>
      <c r="G38" s="12">
        <f>digestion_page!B12</f>
        <v>0</v>
      </c>
      <c r="H38" s="12">
        <f>digestion_page!C12</f>
        <v>0</v>
      </c>
      <c r="I38" s="12">
        <f>(LEFT(B38,FIND("/",B38)-1)/RIGHT(B38,LEN(B38)-FIND("/", B38)))</f>
        <v>0</v>
      </c>
    </row>
    <row r="39" spans="1:9">
      <c r="A39" s="5" t="s">
        <v>14</v>
      </c>
      <c r="B39" s="6">
        <f>"1/1"</f>
        <v>0</v>
      </c>
      <c r="C39" s="11"/>
      <c r="D39" s="10">
        <f>((C39)*(H39)*(I39))/(G39*$F$7)</f>
        <v>0</v>
      </c>
      <c r="E39" s="10">
        <f>D39/10000</f>
        <v>0</v>
      </c>
      <c r="G39" s="12">
        <f>digestion_page!B13</f>
        <v>0</v>
      </c>
      <c r="H39" s="12">
        <f>digestion_page!C13</f>
        <v>0</v>
      </c>
      <c r="I39" s="12">
        <f>(LEFT(B39,FIND("/",B39)-1)/RIGHT(B39,LEN(B39)-FIND("/", B39)))</f>
        <v>0</v>
      </c>
    </row>
    <row r="41" spans="1:9">
      <c r="A41" s="8" t="s">
        <v>42</v>
      </c>
      <c r="B41" s="8"/>
      <c r="C41" s="13">
        <f>AVERAGE(D38:D39)</f>
        <v>0</v>
      </c>
    </row>
    <row r="42" spans="1:9">
      <c r="A42" s="8" t="s">
        <v>42</v>
      </c>
      <c r="B42" s="8"/>
      <c r="C42" s="14">
        <f>AVERAGE(E38:E39)</f>
        <v>0</v>
      </c>
    </row>
    <row r="43" spans="1:9">
      <c r="A43" s="8" t="s">
        <v>43</v>
      </c>
      <c r="B43" s="8"/>
      <c r="C43" s="15" t="s">
        <v>45</v>
      </c>
      <c r="D43" s="15"/>
      <c r="E43" s="15"/>
      <c r="F43" s="15"/>
    </row>
    <row r="45" spans="1:9">
      <c r="A45" s="3" t="s">
        <v>39</v>
      </c>
      <c r="B45" s="3"/>
    </row>
    <row r="46" spans="1:9">
      <c r="A46" s="5" t="s">
        <v>26</v>
      </c>
      <c r="B46" s="5" t="s">
        <v>33</v>
      </c>
      <c r="C46" s="5" t="s">
        <v>34</v>
      </c>
      <c r="D46" s="5" t="s">
        <v>40</v>
      </c>
      <c r="E46" s="5" t="s">
        <v>41</v>
      </c>
    </row>
    <row r="47" spans="1:9">
      <c r="A47" s="5" t="s">
        <v>16</v>
      </c>
      <c r="B47" s="6">
        <f>"1/1"</f>
        <v>0</v>
      </c>
      <c r="C47" s="11"/>
      <c r="D47" s="10">
        <f>((C47)*(H47)*(I47))/(G47*$F$7)</f>
        <v>0</v>
      </c>
      <c r="E47" s="10">
        <f>D47/10000</f>
        <v>0</v>
      </c>
      <c r="G47" s="12">
        <f>digestion_page!B21</f>
        <v>0</v>
      </c>
      <c r="H47" s="12">
        <f>digestion_page!C21</f>
        <v>0</v>
      </c>
      <c r="I47" s="12">
        <f>(LEFT(B47,FIND("/",B47)-1)/RIGHT(B47,LEN(B47)-FIND("/", B47)))</f>
        <v>0</v>
      </c>
    </row>
    <row r="48" spans="1:9">
      <c r="A48" s="5" t="s">
        <v>17</v>
      </c>
      <c r="B48" s="6">
        <f>"1/1"</f>
        <v>0</v>
      </c>
      <c r="C48" s="11"/>
      <c r="D48" s="10">
        <f>((C48)*(H48)*(I48))/(G48*$F$7)</f>
        <v>0</v>
      </c>
      <c r="E48" s="10">
        <f>D48/10000</f>
        <v>0</v>
      </c>
      <c r="G48" s="12">
        <f>digestion_page!B22</f>
        <v>0</v>
      </c>
      <c r="H48" s="12">
        <f>digestion_page!C22</f>
        <v>0</v>
      </c>
      <c r="I48" s="12">
        <f>(LEFT(B48,FIND("/",B48)-1)/RIGHT(B48,LEN(B48)-FIND("/", B48)))</f>
        <v>0</v>
      </c>
    </row>
    <row r="50" spans="1:9">
      <c r="A50" s="8" t="s">
        <v>42</v>
      </c>
      <c r="B50" s="8"/>
      <c r="C50" s="13">
        <f>AVERAGE(D47:D48)</f>
        <v>0</v>
      </c>
    </row>
    <row r="51" spans="1:9">
      <c r="A51" s="8" t="s">
        <v>42</v>
      </c>
      <c r="B51" s="8"/>
      <c r="C51" s="14">
        <f>AVERAGE(E47:E48)</f>
        <v>0</v>
      </c>
    </row>
    <row r="52" spans="1:9">
      <c r="A52" s="8" t="s">
        <v>43</v>
      </c>
      <c r="B52" s="8"/>
      <c r="C52" s="15" t="s">
        <v>45</v>
      </c>
      <c r="D52" s="15"/>
      <c r="E52" s="15"/>
      <c r="F52" s="15"/>
    </row>
    <row r="54" spans="1:9">
      <c r="A54" s="3" t="s">
        <v>39</v>
      </c>
      <c r="B54" s="3"/>
    </row>
    <row r="55" spans="1:9">
      <c r="A55" s="5" t="s">
        <v>26</v>
      </c>
      <c r="B55" s="5" t="s">
        <v>33</v>
      </c>
      <c r="C55" s="5" t="s">
        <v>34</v>
      </c>
      <c r="D55" s="5" t="s">
        <v>40</v>
      </c>
      <c r="E55" s="5" t="s">
        <v>41</v>
      </c>
    </row>
    <row r="56" spans="1:9">
      <c r="A56" s="5" t="s">
        <v>19</v>
      </c>
      <c r="B56" s="6">
        <f>"1/1"</f>
        <v>0</v>
      </c>
      <c r="C56" s="11"/>
      <c r="D56" s="10">
        <f>((C56)*(H56)*(I56))/(G56*$F$7)</f>
        <v>0</v>
      </c>
      <c r="E56" s="10">
        <f>D56/10000</f>
        <v>0</v>
      </c>
      <c r="G56" s="12">
        <f>digestion_page!B48</f>
        <v>0</v>
      </c>
      <c r="H56" s="12">
        <f>digestion_page!C48</f>
        <v>0</v>
      </c>
      <c r="I56" s="12">
        <f>(LEFT(B56,FIND("/",B56)-1)/RIGHT(B56,LEN(B56)-FIND("/", B56)))</f>
        <v>0</v>
      </c>
    </row>
    <row r="57" spans="1:9">
      <c r="A57" s="5" t="s">
        <v>20</v>
      </c>
      <c r="B57" s="6">
        <f>"1/1"</f>
        <v>0</v>
      </c>
      <c r="C57" s="11"/>
      <c r="D57" s="10">
        <f>((C57)*(H57)*(I57))/(G57*$F$7)</f>
        <v>0</v>
      </c>
      <c r="E57" s="10">
        <f>D57/10000</f>
        <v>0</v>
      </c>
      <c r="G57" s="12">
        <f>digestion_page!B49</f>
        <v>0</v>
      </c>
      <c r="H57" s="12">
        <f>digestion_page!C49</f>
        <v>0</v>
      </c>
      <c r="I57" s="12">
        <f>(LEFT(B57,FIND("/",B57)-1)/RIGHT(B57,LEN(B57)-FIND("/", B57)))</f>
        <v>0</v>
      </c>
    </row>
    <row r="59" spans="1:9">
      <c r="A59" s="8" t="s">
        <v>42</v>
      </c>
      <c r="B59" s="8"/>
      <c r="C59" s="13">
        <f>AVERAGE(D56:D57)</f>
        <v>0</v>
      </c>
    </row>
    <row r="60" spans="1:9">
      <c r="A60" s="8" t="s">
        <v>42</v>
      </c>
      <c r="B60" s="8"/>
      <c r="C60" s="14">
        <f>AVERAGE(E56:E57)</f>
        <v>0</v>
      </c>
    </row>
    <row r="61" spans="1:9">
      <c r="A61" s="8" t="s">
        <v>43</v>
      </c>
      <c r="B61" s="8"/>
      <c r="C61" s="15" t="s">
        <v>45</v>
      </c>
      <c r="D61" s="15"/>
      <c r="E61" s="15"/>
      <c r="F61" s="15"/>
    </row>
    <row r="63" spans="1:9">
      <c r="B63" s="8" t="s">
        <v>46</v>
      </c>
      <c r="C63" s="16"/>
      <c r="D63" s="16"/>
      <c r="E63" s="16"/>
      <c r="F63" s="16"/>
    </row>
    <row r="64" spans="1:9">
      <c r="C64" s="16"/>
      <c r="D64" s="16"/>
      <c r="E64" s="16"/>
      <c r="F64" s="16"/>
    </row>
    <row r="65" spans="3:6">
      <c r="C65" s="16"/>
      <c r="D65" s="16"/>
      <c r="E65" s="16"/>
      <c r="F65" s="16"/>
    </row>
  </sheetData>
  <mergeCells count="31">
    <mergeCell ref="A9:B9"/>
    <mergeCell ref="A14:B14"/>
    <mergeCell ref="A15:B15"/>
    <mergeCell ref="A16:B16"/>
    <mergeCell ref="C16:F16"/>
    <mergeCell ref="A18:B18"/>
    <mergeCell ref="A23:B23"/>
    <mergeCell ref="A24:B24"/>
    <mergeCell ref="A25:B25"/>
    <mergeCell ref="C25:F25"/>
    <mergeCell ref="A27:B27"/>
    <mergeCell ref="A32:B32"/>
    <mergeCell ref="A33:B33"/>
    <mergeCell ref="A34:B34"/>
    <mergeCell ref="C34:F34"/>
    <mergeCell ref="A36:B36"/>
    <mergeCell ref="A41:B41"/>
    <mergeCell ref="A42:B42"/>
    <mergeCell ref="A43:B43"/>
    <mergeCell ref="C43:F43"/>
    <mergeCell ref="A45:B45"/>
    <mergeCell ref="A50:B50"/>
    <mergeCell ref="A51:B51"/>
    <mergeCell ref="A52:B52"/>
    <mergeCell ref="C52:F52"/>
    <mergeCell ref="A54:B54"/>
    <mergeCell ref="A59:B59"/>
    <mergeCell ref="A60:B60"/>
    <mergeCell ref="A61:B61"/>
    <mergeCell ref="C61:F61"/>
    <mergeCell ref="C63:F65"/>
  </mergeCells>
  <conditionalFormatting sqref="B5">
    <cfRule type="containsBlanks" dxfId="0" priority="1">
      <formula>LEN(TRIM(B5))=0</formula>
    </cfRule>
  </conditionalFormatting>
  <conditionalFormatting sqref="C16:F16">
    <cfRule type="containsBlanks" dxfId="0" priority="2">
      <formula>LEN(TRIM(C16))=0</formula>
    </cfRule>
  </conditionalFormatting>
  <conditionalFormatting sqref="C25:F25">
    <cfRule type="containsBlanks" dxfId="0" priority="3">
      <formula>LEN(TRIM(C25))=0</formula>
    </cfRule>
  </conditionalFormatting>
  <conditionalFormatting sqref="C34:F34">
    <cfRule type="containsBlanks" dxfId="0" priority="4">
      <formula>LEN(TRIM(C34))=0</formula>
    </cfRule>
  </conditionalFormatting>
  <conditionalFormatting sqref="C43:F43">
    <cfRule type="containsBlanks" dxfId="0" priority="5">
      <formula>LEN(TRIM(C43))=0</formula>
    </cfRule>
  </conditionalFormatting>
  <conditionalFormatting sqref="C52:F52">
    <cfRule type="containsBlanks" dxfId="0" priority="6">
      <formula>LEN(TRIM(C52))=0</formula>
    </cfRule>
  </conditionalFormatting>
  <conditionalFormatting sqref="C61:F61">
    <cfRule type="containsBlanks" dxfId="0" priority="7">
      <formula>LEN(TRIM(C61))=0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cols>
    <col min="1" max="1" width="15.140625" bestFit="1" customWidth="1"/>
    <col min="2" max="2" width="10.85546875" bestFit="1" customWidth="1"/>
    <col min="3" max="3" width="19.140625" bestFit="1" customWidth="1"/>
    <col min="4" max="4" width="16.28515625" bestFit="1" customWidth="1"/>
    <col min="5" max="5" width="12.85546875" bestFit="1" customWidth="1"/>
    <col min="6" max="6" width="10" bestFit="1" customWidth="1"/>
    <col min="7" max="10" width="7.7109375" customWidth="1"/>
  </cols>
  <sheetData>
    <row r="1" spans="1:9">
      <c r="A1" s="1" t="s">
        <v>0</v>
      </c>
      <c r="B1" s="2">
        <v>46265</v>
      </c>
    </row>
    <row r="2" spans="1:9">
      <c r="A2" s="1" t="s">
        <v>1</v>
      </c>
      <c r="B2" s="3" t="s">
        <v>2</v>
      </c>
    </row>
    <row r="5" spans="1:9">
      <c r="A5" s="8" t="s">
        <v>25</v>
      </c>
      <c r="B5" s="9"/>
    </row>
    <row r="6" spans="1:9">
      <c r="A6" s="5" t="s">
        <v>26</v>
      </c>
      <c r="B6" s="5" t="s">
        <v>27</v>
      </c>
      <c r="C6" s="5" t="s">
        <v>28</v>
      </c>
      <c r="D6" s="5">
        <f>"after "&amp;B5&amp;" °C"</f>
        <v>0</v>
      </c>
      <c r="E6" s="5" t="s">
        <v>29</v>
      </c>
      <c r="F6" s="5" t="s">
        <v>30</v>
      </c>
    </row>
    <row r="7" spans="1:9">
      <c r="A7" s="5" t="s">
        <v>53</v>
      </c>
      <c r="B7" s="7"/>
      <c r="C7" s="7"/>
      <c r="D7" s="7"/>
      <c r="E7" s="10">
        <f>(((C7-B7)-(D7-B7))/(C7-B7))*100</f>
        <v>0</v>
      </c>
      <c r="F7" s="7">
        <f>1-(E7/100)</f>
        <v>0</v>
      </c>
    </row>
    <row r="9" spans="1:9">
      <c r="A9" s="3" t="s">
        <v>54</v>
      </c>
      <c r="B9" s="3"/>
    </row>
    <row r="10" spans="1:9">
      <c r="A10" s="5" t="s">
        <v>26</v>
      </c>
      <c r="B10" s="5" t="s">
        <v>33</v>
      </c>
      <c r="C10" s="5" t="s">
        <v>34</v>
      </c>
      <c r="D10" s="5" t="s">
        <v>55</v>
      </c>
      <c r="E10" s="5" t="s">
        <v>56</v>
      </c>
    </row>
    <row r="11" spans="1:9">
      <c r="A11" s="5" t="s">
        <v>22</v>
      </c>
      <c r="B11" s="6">
        <f>"1/1"</f>
        <v>0</v>
      </c>
      <c r="C11" s="11"/>
      <c r="D11" s="10">
        <f>((C11)*(H11)*(I11))/(G11*$F$7)</f>
        <v>0</v>
      </c>
      <c r="E11" s="10">
        <f>D11/10000</f>
        <v>0</v>
      </c>
      <c r="G11" s="12">
        <f>digestion_page!B39</f>
        <v>0</v>
      </c>
      <c r="H11" s="12">
        <f>digestion_page!C39</f>
        <v>0</v>
      </c>
      <c r="I11" s="12">
        <f>(LEFT(B11,FIND("/",B11)-1)/RIGHT(B11,LEN(B11)-FIND("/", B11)))</f>
        <v>0</v>
      </c>
    </row>
    <row r="12" spans="1:9">
      <c r="A12" s="5" t="s">
        <v>23</v>
      </c>
      <c r="B12" s="6">
        <f>"1/1"</f>
        <v>0</v>
      </c>
      <c r="C12" s="11"/>
      <c r="D12" s="10">
        <f>((C12)*(H12)*(I12))/(G12*$F$7)</f>
        <v>0</v>
      </c>
      <c r="E12" s="10">
        <f>D12/10000</f>
        <v>0</v>
      </c>
      <c r="G12" s="12">
        <f>digestion_page!B40</f>
        <v>0</v>
      </c>
      <c r="H12" s="12">
        <f>digestion_page!C40</f>
        <v>0</v>
      </c>
      <c r="I12" s="12">
        <f>(LEFT(B12,FIND("/",B12)-1)/RIGHT(B12,LEN(B12)-FIND("/", B12)))</f>
        <v>0</v>
      </c>
    </row>
    <row r="14" spans="1:9">
      <c r="A14" s="8" t="s">
        <v>57</v>
      </c>
      <c r="B14" s="8"/>
      <c r="C14" s="13">
        <f>AVERAGE(D11:D12)</f>
        <v>0</v>
      </c>
    </row>
    <row r="15" spans="1:9">
      <c r="A15" s="8" t="s">
        <v>57</v>
      </c>
      <c r="B15" s="8"/>
      <c r="C15" s="14">
        <f>AVERAGE(E11:E12)</f>
        <v>0</v>
      </c>
    </row>
    <row r="16" spans="1:9">
      <c r="A16" s="8" t="s">
        <v>58</v>
      </c>
      <c r="B16" s="8"/>
      <c r="C16" s="15"/>
      <c r="D16" s="15"/>
      <c r="E16" s="15"/>
      <c r="F16" s="15"/>
    </row>
    <row r="18" spans="2:6">
      <c r="B18" s="8" t="s">
        <v>46</v>
      </c>
      <c r="C18" s="16"/>
      <c r="D18" s="16"/>
      <c r="E18" s="16"/>
      <c r="F18" s="16"/>
    </row>
    <row r="19" spans="2:6">
      <c r="C19" s="16"/>
      <c r="D19" s="16"/>
      <c r="E19" s="16"/>
      <c r="F19" s="16"/>
    </row>
    <row r="20" spans="2:6">
      <c r="C20" s="16"/>
      <c r="D20" s="16"/>
      <c r="E20" s="16"/>
      <c r="F20" s="16"/>
    </row>
  </sheetData>
  <mergeCells count="6">
    <mergeCell ref="A9:B9"/>
    <mergeCell ref="A14:B14"/>
    <mergeCell ref="A15:B15"/>
    <mergeCell ref="A16:B16"/>
    <mergeCell ref="C16:F16"/>
    <mergeCell ref="C18:F20"/>
  </mergeCells>
  <conditionalFormatting sqref="B5">
    <cfRule type="containsBlanks" dxfId="0" priority="1">
      <formula>LEN(TRIM(B5))=0</formula>
    </cfRule>
  </conditionalFormatting>
  <conditionalFormatting sqref="C16:F16">
    <cfRule type="containsBlanks" dxfId="0" priority="2">
      <formula>LEN(TRIM(C16))=0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cols>
    <col min="1" max="1" width="46.140625" bestFit="1" customWidth="1"/>
  </cols>
  <sheetData>
    <row r="1" spans="1:1">
      <c r="A1" s="17" t="s">
        <v>59</v>
      </c>
    </row>
    <row r="3" spans="1:1">
      <c r="A3" s="17" t="s">
        <v>60</v>
      </c>
    </row>
    <row r="5" spans="1:1">
      <c r="A5" s="17" t="s">
        <v>61</v>
      </c>
    </row>
    <row r="6" spans="1:1">
      <c r="A6" s="17" t="s">
        <v>62</v>
      </c>
    </row>
    <row r="7" spans="1:1">
      <c r="A7" s="17" t="s">
        <v>63</v>
      </c>
    </row>
    <row r="9" spans="1:1">
      <c r="A9" s="17" t="s">
        <v>64</v>
      </c>
    </row>
    <row r="11" spans="1:1">
      <c r="A11" s="17" t="s">
        <v>65</v>
      </c>
    </row>
    <row r="13" spans="1:1">
      <c r="A13" s="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digestion_page</vt:lpstr>
      <vt:lpstr>200120001</vt:lpstr>
      <vt:lpstr>200120002</vt:lpstr>
      <vt:lpstr>200120003</vt:lpstr>
      <vt:lpstr>formula_page</vt:lpstr>
    </vt:vector>
  </TitlesOfParts>
  <Company>Clariant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Carl Archemetre</cp:lastModifiedBy>
  <dcterms:created xsi:type="dcterms:W3CDTF">2026-08-31T20:17:57Z</dcterms:created>
  <dcterms:modified xsi:type="dcterms:W3CDTF">2026-08-31T20:17:57Z</dcterms:modified>
</cp:coreProperties>
</file>