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cheme\PycharmProjects\request_template\"/>
    </mc:Choice>
  </mc:AlternateContent>
  <xr:revisionPtr revIDLastSave="0" documentId="8_{255E6444-EA6E-4AB5-B213-C1551D58F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gestion_page" sheetId="1" r:id="rId1"/>
    <sheet name="200120001" sheetId="2" r:id="rId2"/>
    <sheet name="200120002" sheetId="3" r:id="rId3"/>
    <sheet name="formula_p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G30" i="3"/>
  <c r="B30" i="3"/>
  <c r="I30" i="3" s="1"/>
  <c r="H29" i="3"/>
  <c r="G29" i="3"/>
  <c r="B29" i="3"/>
  <c r="I29" i="3" s="1"/>
  <c r="H21" i="3"/>
  <c r="G21" i="3"/>
  <c r="B21" i="3"/>
  <c r="I21" i="3" s="1"/>
  <c r="H20" i="3"/>
  <c r="G20" i="3"/>
  <c r="B20" i="3"/>
  <c r="I20" i="3" s="1"/>
  <c r="D20" i="3" s="1"/>
  <c r="H12" i="3"/>
  <c r="G12" i="3"/>
  <c r="B12" i="3"/>
  <c r="I12" i="3" s="1"/>
  <c r="D12" i="3" s="1"/>
  <c r="E12" i="3" s="1"/>
  <c r="I11" i="3"/>
  <c r="H11" i="3"/>
  <c r="G11" i="3"/>
  <c r="B11" i="3"/>
  <c r="E7" i="3"/>
  <c r="F7" i="3" s="1"/>
  <c r="D6" i="3"/>
  <c r="I21" i="2"/>
  <c r="H21" i="2"/>
  <c r="G21" i="2"/>
  <c r="B21" i="2"/>
  <c r="H20" i="2"/>
  <c r="G20" i="2"/>
  <c r="B20" i="2"/>
  <c r="I20" i="2" s="1"/>
  <c r="D20" i="2" s="1"/>
  <c r="I12" i="2"/>
  <c r="H12" i="2"/>
  <c r="G12" i="2"/>
  <c r="B12" i="2"/>
  <c r="H11" i="2"/>
  <c r="G11" i="2"/>
  <c r="B11" i="2"/>
  <c r="I11" i="2" s="1"/>
  <c r="E7" i="2"/>
  <c r="F7" i="2" s="1"/>
  <c r="D6" i="2"/>
  <c r="D11" i="2" l="1"/>
  <c r="C14" i="2" s="1"/>
  <c r="E20" i="3"/>
  <c r="C24" i="3" s="1"/>
  <c r="C23" i="3"/>
  <c r="D21" i="2"/>
  <c r="E21" i="2" s="1"/>
  <c r="D21" i="3"/>
  <c r="E21" i="3" s="1"/>
  <c r="D12" i="2"/>
  <c r="E12" i="2" s="1"/>
  <c r="D11" i="3"/>
  <c r="E20" i="2"/>
  <c r="C24" i="2" s="1"/>
  <c r="C23" i="2"/>
  <c r="D29" i="3"/>
  <c r="D30" i="3"/>
  <c r="E30" i="3" s="1"/>
  <c r="E11" i="2" l="1"/>
  <c r="C15" i="2" s="1"/>
  <c r="E11" i="3"/>
  <c r="C15" i="3" s="1"/>
  <c r="C14" i="3"/>
  <c r="C32" i="3"/>
  <c r="E29" i="3"/>
  <c r="C33" i="3" s="1"/>
</calcChain>
</file>

<file path=xl/sharedStrings.xml><?xml version="1.0" encoding="utf-8"?>
<sst xmlns="http://schemas.openxmlformats.org/spreadsheetml/2006/main" count="110" uniqueCount="52">
  <si>
    <t>Date:</t>
  </si>
  <si>
    <t>Request ID:</t>
  </si>
  <si>
    <t>TEST</t>
  </si>
  <si>
    <t>Katanax</t>
  </si>
  <si>
    <t>Analyte(s)</t>
  </si>
  <si>
    <t>Ca, Cu</t>
  </si>
  <si>
    <t>SOP#</t>
  </si>
  <si>
    <t>Acid Cocktail</t>
  </si>
  <si>
    <t>sample(s)</t>
  </si>
  <si>
    <t>weight (g)</t>
  </si>
  <si>
    <t>volume (mL)</t>
  </si>
  <si>
    <t>200120001_1</t>
  </si>
  <si>
    <t>200120001_2</t>
  </si>
  <si>
    <t>200120002_1</t>
  </si>
  <si>
    <t>200120002_2</t>
  </si>
  <si>
    <t>Cu</t>
  </si>
  <si>
    <t>200120002_3</t>
  </si>
  <si>
    <t>200120002_4</t>
  </si>
  <si>
    <t>LOI temp:</t>
  </si>
  <si>
    <t>sample</t>
  </si>
  <si>
    <t>crucible (g)</t>
  </si>
  <si>
    <t>crucible + sample (g)</t>
  </si>
  <si>
    <t>LOI (%)</t>
  </si>
  <si>
    <t>correction</t>
  </si>
  <si>
    <t>200120001</t>
  </si>
  <si>
    <t>Ca_0 ICP analysis</t>
  </si>
  <si>
    <t>Dilution</t>
  </si>
  <si>
    <t>conc. [mg/L]</t>
  </si>
  <si>
    <t>Ca_0_ppm [dried]</t>
  </si>
  <si>
    <t>%Ca_0 [dried]</t>
  </si>
  <si>
    <t>ca_0 result:</t>
  </si>
  <si>
    <t>ca_0 lot:</t>
  </si>
  <si>
    <t>Cu_0 ICP analysis</t>
  </si>
  <si>
    <t>Cu_0_ppm [dried]</t>
  </si>
  <si>
    <t>%Cu_0 [dried]</t>
  </si>
  <si>
    <t>cu_0 result:</t>
  </si>
  <si>
    <t>cu_0 lot:</t>
  </si>
  <si>
    <t>Note(s):</t>
  </si>
  <si>
    <t>200120002</t>
  </si>
  <si>
    <t>Cu_1 ICP analysis</t>
  </si>
  <si>
    <t>Cu_1_ppm [dried]</t>
  </si>
  <si>
    <t>%Cu_1 [dried]</t>
  </si>
  <si>
    <t>cu_1 result:</t>
  </si>
  <si>
    <t>cu_1 lot:</t>
  </si>
  <si>
    <t>ppm M+ = [conc.][volume][dilution]/[weight]</t>
  </si>
  <si>
    <t>%M+ = [conc.][volume][dilution]/([weight]*10,000)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</si>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</sst>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12" sqref="B12"/>
    </sheetView>
  </sheetViews>
  <sheetFormatPr defaultRowHeight="15" x14ac:dyDescent="0.25"/>
  <cols>
    <col min="1" max="1" width="12.7109375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2">
        <v>46262</v>
      </c>
    </row>
    <row r="2" spans="1:3" x14ac:dyDescent="0.25">
      <c r="A2" s="1" t="s">
        <v>1</v>
      </c>
      <c r="B2" s="3" t="s">
        <v>2</v>
      </c>
    </row>
    <row r="5" spans="1:3" x14ac:dyDescent="0.25">
      <c r="A5" s="15" t="s">
        <v>3</v>
      </c>
      <c r="B5" s="15"/>
      <c r="C5" s="15"/>
    </row>
    <row r="6" spans="1:3" x14ac:dyDescent="0.25">
      <c r="A6" s="4" t="s">
        <v>4</v>
      </c>
      <c r="B6" s="16" t="s">
        <v>5</v>
      </c>
      <c r="C6" s="16"/>
    </row>
    <row r="7" spans="1:3" x14ac:dyDescent="0.25">
      <c r="A7" s="4" t="s">
        <v>6</v>
      </c>
      <c r="B7" s="16"/>
      <c r="C7" s="16"/>
    </row>
    <row r="8" spans="1:3" x14ac:dyDescent="0.25">
      <c r="A8" s="4" t="s">
        <v>7</v>
      </c>
      <c r="B8" s="16"/>
      <c r="C8" s="16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1.0001</v>
      </c>
      <c r="C10" s="5">
        <v>250</v>
      </c>
    </row>
    <row r="11" spans="1:3" x14ac:dyDescent="0.25">
      <c r="A11" s="4" t="s">
        <v>12</v>
      </c>
      <c r="B11" s="6">
        <v>1.0002</v>
      </c>
      <c r="C11" s="5">
        <v>250</v>
      </c>
    </row>
    <row r="12" spans="1:3" x14ac:dyDescent="0.25">
      <c r="A12" s="4" t="s">
        <v>13</v>
      </c>
      <c r="B12" s="6">
        <v>2.0001000000000002</v>
      </c>
      <c r="C12" s="5">
        <v>250</v>
      </c>
    </row>
    <row r="13" spans="1:3" x14ac:dyDescent="0.25">
      <c r="A13" s="4" t="s">
        <v>14</v>
      </c>
      <c r="B13" s="6">
        <v>2.0002</v>
      </c>
      <c r="C13" s="5">
        <v>250</v>
      </c>
    </row>
    <row r="16" spans="1:3" x14ac:dyDescent="0.25">
      <c r="A16" s="15" t="s">
        <v>3</v>
      </c>
      <c r="B16" s="15"/>
      <c r="C16" s="15"/>
    </row>
    <row r="17" spans="1:3" x14ac:dyDescent="0.25">
      <c r="A17" s="4" t="s">
        <v>4</v>
      </c>
      <c r="B17" s="16" t="s">
        <v>15</v>
      </c>
      <c r="C17" s="16"/>
    </row>
    <row r="18" spans="1:3" x14ac:dyDescent="0.25">
      <c r="A18" s="4" t="s">
        <v>6</v>
      </c>
      <c r="B18" s="16"/>
      <c r="C18" s="16"/>
    </row>
    <row r="19" spans="1:3" x14ac:dyDescent="0.25">
      <c r="A19" s="4" t="s">
        <v>7</v>
      </c>
      <c r="B19" s="16"/>
      <c r="C19" s="16"/>
    </row>
    <row r="20" spans="1:3" x14ac:dyDescent="0.25">
      <c r="A20" s="4" t="s">
        <v>8</v>
      </c>
      <c r="B20" s="4" t="s">
        <v>9</v>
      </c>
      <c r="C20" s="4" t="s">
        <v>10</v>
      </c>
    </row>
    <row r="21" spans="1:3" x14ac:dyDescent="0.25">
      <c r="A21" s="4" t="s">
        <v>16</v>
      </c>
      <c r="B21" s="6">
        <v>2.0003000000000002</v>
      </c>
      <c r="C21" s="5">
        <v>250</v>
      </c>
    </row>
    <row r="22" spans="1:3" x14ac:dyDescent="0.25">
      <c r="A22" s="4" t="s">
        <v>17</v>
      </c>
      <c r="B22" s="6">
        <v>2.0004</v>
      </c>
      <c r="C22" s="5">
        <v>250</v>
      </c>
    </row>
  </sheetData>
  <mergeCells count="8">
    <mergeCell ref="B17:C17"/>
    <mergeCell ref="B18:C18"/>
    <mergeCell ref="B19:C19"/>
    <mergeCell ref="A5:C5"/>
    <mergeCell ref="B6:C6"/>
    <mergeCell ref="B7:C7"/>
    <mergeCell ref="B8:C8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/>
  </sheetViews>
  <sheetFormatPr defaultRowHeight="15" x14ac:dyDescent="0.25"/>
  <cols>
    <col min="1" max="1" width="16" bestFit="1" customWidth="1"/>
    <col min="2" max="2" width="10.85546875" bestFit="1" customWidth="1"/>
    <col min="3" max="3" width="19.140625" bestFit="1" customWidth="1"/>
    <col min="4" max="4" width="16.85546875" bestFit="1" customWidth="1"/>
    <col min="5" max="5" width="13.42578125" bestFit="1" customWidth="1"/>
    <col min="6" max="6" width="10" bestFit="1" customWidth="1"/>
    <col min="7" max="19" width="7.7109375" customWidth="1"/>
  </cols>
  <sheetData>
    <row r="1" spans="1:9" x14ac:dyDescent="0.25">
      <c r="A1" s="1" t="s">
        <v>0</v>
      </c>
      <c r="B1" s="2">
        <v>46262</v>
      </c>
    </row>
    <row r="2" spans="1:9" x14ac:dyDescent="0.25">
      <c r="A2" s="1" t="s">
        <v>1</v>
      </c>
      <c r="B2" s="3" t="s">
        <v>2</v>
      </c>
    </row>
    <row r="5" spans="1:9" x14ac:dyDescent="0.25">
      <c r="A5" s="7" t="s">
        <v>18</v>
      </c>
      <c r="B5" s="8"/>
    </row>
    <row r="6" spans="1:9" x14ac:dyDescent="0.25">
      <c r="A6" s="4" t="s">
        <v>19</v>
      </c>
      <c r="B6" s="4" t="s">
        <v>20</v>
      </c>
      <c r="C6" s="4" t="s">
        <v>21</v>
      </c>
      <c r="D6" s="4" t="str">
        <f>"after "&amp;B5&amp;" °C"</f>
        <v>after  °C</v>
      </c>
      <c r="E6" s="4" t="s">
        <v>22</v>
      </c>
      <c r="F6" s="4" t="s">
        <v>23</v>
      </c>
    </row>
    <row r="7" spans="1:9" x14ac:dyDescent="0.25">
      <c r="A7" s="4" t="s">
        <v>24</v>
      </c>
      <c r="B7" s="6"/>
      <c r="C7" s="6"/>
      <c r="D7" s="6"/>
      <c r="E7" s="9" t="e">
        <f>(((C7-B7)-(D7-B7))/(C7-B7))*100</f>
        <v>#DIV/0!</v>
      </c>
      <c r="F7" s="6" t="e">
        <f>1-(E7/100)</f>
        <v>#DIV/0!</v>
      </c>
    </row>
    <row r="9" spans="1:9" x14ac:dyDescent="0.25">
      <c r="A9" s="17" t="s">
        <v>25</v>
      </c>
      <c r="B9" s="17"/>
    </row>
    <row r="10" spans="1:9" x14ac:dyDescent="0.25">
      <c r="A10" s="4" t="s">
        <v>19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9" x14ac:dyDescent="0.25">
      <c r="A11" s="4" t="s">
        <v>11</v>
      </c>
      <c r="B11" s="5" t="str">
        <f>"1/1"</f>
        <v>1/1</v>
      </c>
      <c r="C11" s="10"/>
      <c r="D11" s="9" t="e">
        <f>((C11)*(H11)*(I11))/(G11*$F$7)</f>
        <v>#DIV/0!</v>
      </c>
      <c r="E11" s="9" t="e">
        <f>D11/10000</f>
        <v>#DIV/0!</v>
      </c>
      <c r="G11" s="11">
        <f>digestion_page!B10</f>
        <v>1.0001</v>
      </c>
      <c r="H11" s="11">
        <f>digestion_page!C10</f>
        <v>250</v>
      </c>
      <c r="I11" s="11">
        <f>(LEFT(B11,FIND("/",B11)-1)/RIGHT(B11,LEN(B11)-FIND("/", B11)))</f>
        <v>1</v>
      </c>
    </row>
    <row r="12" spans="1:9" x14ac:dyDescent="0.25">
      <c r="A12" s="4" t="s">
        <v>12</v>
      </c>
      <c r="B12" s="5" t="str">
        <f>"1/1"</f>
        <v>1/1</v>
      </c>
      <c r="C12" s="10"/>
      <c r="D12" s="9" t="e">
        <f>((C12)*(H12)*(I12))/(G12*$F$7)</f>
        <v>#DIV/0!</v>
      </c>
      <c r="E12" s="9" t="e">
        <f>D12/10000</f>
        <v>#DIV/0!</v>
      </c>
      <c r="G12" s="11">
        <f>digestion_page!B11</f>
        <v>1.0002</v>
      </c>
      <c r="H12" s="11">
        <f>digestion_page!C11</f>
        <v>250</v>
      </c>
      <c r="I12" s="11">
        <f>(LEFT(B12,FIND("/",B12)-1)/RIGHT(B12,LEN(B12)-FIND("/", B12)))</f>
        <v>1</v>
      </c>
    </row>
    <row r="14" spans="1:9" x14ac:dyDescent="0.25">
      <c r="A14" s="18" t="s">
        <v>30</v>
      </c>
      <c r="B14" s="18"/>
      <c r="C14" s="12" t="e">
        <f>AVERAGE(D11:D12)</f>
        <v>#DIV/0!</v>
      </c>
    </row>
    <row r="15" spans="1:9" x14ac:dyDescent="0.25">
      <c r="A15" s="18" t="s">
        <v>30</v>
      </c>
      <c r="B15" s="18"/>
      <c r="C15" s="13" t="e">
        <f>AVERAGE(E11:E12)</f>
        <v>#DIV/0!</v>
      </c>
    </row>
    <row r="16" spans="1:9" x14ac:dyDescent="0.25">
      <c r="A16" s="18" t="s">
        <v>31</v>
      </c>
      <c r="B16" s="18"/>
      <c r="C16" s="19"/>
      <c r="D16" s="19"/>
      <c r="E16" s="19"/>
      <c r="F16" s="19"/>
    </row>
    <row r="18" spans="1:9" x14ac:dyDescent="0.25">
      <c r="A18" s="17" t="s">
        <v>32</v>
      </c>
      <c r="B18" s="17"/>
    </row>
    <row r="19" spans="1:9" x14ac:dyDescent="0.25">
      <c r="A19" s="4" t="s">
        <v>19</v>
      </c>
      <c r="B19" s="4" t="s">
        <v>26</v>
      </c>
      <c r="C19" s="4" t="s">
        <v>27</v>
      </c>
      <c r="D19" s="4" t="s">
        <v>33</v>
      </c>
      <c r="E19" s="4" t="s">
        <v>34</v>
      </c>
    </row>
    <row r="20" spans="1:9" x14ac:dyDescent="0.25">
      <c r="A20" s="4" t="s">
        <v>11</v>
      </c>
      <c r="B20" s="5" t="str">
        <f>"1/1"</f>
        <v>1/1</v>
      </c>
      <c r="C20" s="10"/>
      <c r="D20" s="9" t="e">
        <f>((C20)*(H20)*(I20))/(G20*$F$7)</f>
        <v>#DIV/0!</v>
      </c>
      <c r="E20" s="9" t="e">
        <f>D20/10000</f>
        <v>#DIV/0!</v>
      </c>
      <c r="G20" s="11">
        <f>digestion_page!B10</f>
        <v>1.0001</v>
      </c>
      <c r="H20" s="11">
        <f>digestion_page!C10</f>
        <v>250</v>
      </c>
      <c r="I20" s="11">
        <f>(LEFT(B20,FIND("/",B20)-1)/RIGHT(B20,LEN(B20)-FIND("/", B20)))</f>
        <v>1</v>
      </c>
    </row>
    <row r="21" spans="1:9" x14ac:dyDescent="0.25">
      <c r="A21" s="4" t="s">
        <v>12</v>
      </c>
      <c r="B21" s="5" t="str">
        <f>"1/1"</f>
        <v>1/1</v>
      </c>
      <c r="C21" s="10"/>
      <c r="D21" s="9" t="e">
        <f>((C21)*(H21)*(I21))/(G21*$F$7)</f>
        <v>#DIV/0!</v>
      </c>
      <c r="E21" s="9" t="e">
        <f>D21/10000</f>
        <v>#DIV/0!</v>
      </c>
      <c r="G21" s="11">
        <f>digestion_page!B11</f>
        <v>1.0002</v>
      </c>
      <c r="H21" s="11">
        <f>digestion_page!C11</f>
        <v>250</v>
      </c>
      <c r="I21" s="11">
        <f>(LEFT(B21,FIND("/",B21)-1)/RIGHT(B21,LEN(B21)-FIND("/", B21)))</f>
        <v>1</v>
      </c>
    </row>
    <row r="23" spans="1:9" x14ac:dyDescent="0.25">
      <c r="A23" s="18" t="s">
        <v>35</v>
      </c>
      <c r="B23" s="18"/>
      <c r="C23" s="12" t="e">
        <f>AVERAGE(D20:D21)</f>
        <v>#DIV/0!</v>
      </c>
    </row>
    <row r="24" spans="1:9" x14ac:dyDescent="0.25">
      <c r="A24" s="18" t="s">
        <v>35</v>
      </c>
      <c r="B24" s="18"/>
      <c r="C24" s="13" t="e">
        <f>AVERAGE(E20:E21)</f>
        <v>#DIV/0!</v>
      </c>
    </row>
    <row r="25" spans="1:9" x14ac:dyDescent="0.25">
      <c r="A25" s="18" t="s">
        <v>36</v>
      </c>
      <c r="B25" s="18"/>
      <c r="C25" s="19"/>
      <c r="D25" s="19"/>
      <c r="E25" s="19"/>
      <c r="F25" s="19"/>
    </row>
    <row r="27" spans="1:9" x14ac:dyDescent="0.25">
      <c r="B27" s="7" t="s">
        <v>37</v>
      </c>
      <c r="C27" s="20"/>
      <c r="D27" s="20"/>
      <c r="E27" s="20"/>
      <c r="F27" s="20"/>
    </row>
    <row r="28" spans="1:9" x14ac:dyDescent="0.25">
      <c r="C28" s="20"/>
      <c r="D28" s="20"/>
      <c r="E28" s="20"/>
      <c r="F28" s="20"/>
    </row>
    <row r="29" spans="1:9" x14ac:dyDescent="0.25">
      <c r="C29" s="20"/>
      <c r="D29" s="20"/>
      <c r="E29" s="20"/>
      <c r="F29" s="20"/>
    </row>
  </sheetData>
  <mergeCells count="11">
    <mergeCell ref="C27:F29"/>
    <mergeCell ref="A18:B18"/>
    <mergeCell ref="A23:B23"/>
    <mergeCell ref="A24:B24"/>
    <mergeCell ref="A25:B25"/>
    <mergeCell ref="C25:F25"/>
    <mergeCell ref="A9:B9"/>
    <mergeCell ref="A14:B14"/>
    <mergeCell ref="A15:B15"/>
    <mergeCell ref="A16:B16"/>
    <mergeCell ref="C16:F16"/>
  </mergeCells>
  <conditionalFormatting sqref="B5">
    <cfRule type="containsBlanks" dxfId="6" priority="1">
      <formula>LEN(TRIM(B5))=0</formula>
    </cfRule>
  </conditionalFormatting>
  <conditionalFormatting sqref="C16:F16">
    <cfRule type="containsBlanks" dxfId="5" priority="2">
      <formula>LEN(TRIM(C16))=0</formula>
    </cfRule>
  </conditionalFormatting>
  <conditionalFormatting sqref="C25:F25">
    <cfRule type="containsBlanks" dxfId="4" priority="3">
      <formula>LEN(TRIM(C25))=0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/>
  </sheetViews>
  <sheetFormatPr defaultRowHeight="15" x14ac:dyDescent="0.25"/>
  <cols>
    <col min="1" max="1" width="16" bestFit="1" customWidth="1"/>
    <col min="2" max="2" width="10.85546875" bestFit="1" customWidth="1"/>
    <col min="3" max="3" width="19.140625" bestFit="1" customWidth="1"/>
    <col min="4" max="4" width="16.85546875" bestFit="1" customWidth="1"/>
    <col min="5" max="5" width="13.42578125" bestFit="1" customWidth="1"/>
    <col min="6" max="6" width="10" bestFit="1" customWidth="1"/>
    <col min="7" max="28" width="7.7109375" customWidth="1"/>
  </cols>
  <sheetData>
    <row r="1" spans="1:9" x14ac:dyDescent="0.25">
      <c r="A1" s="1" t="s">
        <v>0</v>
      </c>
      <c r="B1" s="2">
        <v>46262</v>
      </c>
    </row>
    <row r="2" spans="1:9" x14ac:dyDescent="0.25">
      <c r="A2" s="1" t="s">
        <v>1</v>
      </c>
      <c r="B2" s="3" t="s">
        <v>2</v>
      </c>
    </row>
    <row r="5" spans="1:9" x14ac:dyDescent="0.25">
      <c r="A5" s="7" t="s">
        <v>18</v>
      </c>
      <c r="B5" s="8"/>
    </row>
    <row r="6" spans="1:9" x14ac:dyDescent="0.25">
      <c r="A6" s="4" t="s">
        <v>19</v>
      </c>
      <c r="B6" s="4" t="s">
        <v>20</v>
      </c>
      <c r="C6" s="4" t="s">
        <v>21</v>
      </c>
      <c r="D6" s="4" t="str">
        <f>"after "&amp;B5&amp;" °C"</f>
        <v>after  °C</v>
      </c>
      <c r="E6" s="4" t="s">
        <v>22</v>
      </c>
      <c r="F6" s="4" t="s">
        <v>23</v>
      </c>
    </row>
    <row r="7" spans="1:9" x14ac:dyDescent="0.25">
      <c r="A7" s="4" t="s">
        <v>38</v>
      </c>
      <c r="B7" s="6"/>
      <c r="C7" s="6"/>
      <c r="D7" s="6"/>
      <c r="E7" s="9" t="e">
        <f>(((C7-B7)-(D7-B7))/(C7-B7))*100</f>
        <v>#DIV/0!</v>
      </c>
      <c r="F7" s="6" t="e">
        <f>1-(E7/100)</f>
        <v>#DIV/0!</v>
      </c>
    </row>
    <row r="9" spans="1:9" x14ac:dyDescent="0.25">
      <c r="A9" s="17" t="s">
        <v>25</v>
      </c>
      <c r="B9" s="17"/>
    </row>
    <row r="10" spans="1:9" x14ac:dyDescent="0.25">
      <c r="A10" s="4" t="s">
        <v>19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9" x14ac:dyDescent="0.25">
      <c r="A11" s="4" t="s">
        <v>13</v>
      </c>
      <c r="B11" s="5" t="str">
        <f>"1/1"</f>
        <v>1/1</v>
      </c>
      <c r="C11" s="10"/>
      <c r="D11" s="9" t="e">
        <f>((C11)*(H11)*(I11))/(G11*$F$7)</f>
        <v>#DIV/0!</v>
      </c>
      <c r="E11" s="9" t="e">
        <f>D11/10000</f>
        <v>#DIV/0!</v>
      </c>
      <c r="G11" s="11">
        <f>digestion_page!B12</f>
        <v>2.0001000000000002</v>
      </c>
      <c r="H11" s="11">
        <f>digestion_page!C12</f>
        <v>250</v>
      </c>
      <c r="I11" s="11">
        <f>(LEFT(B11,FIND("/",B11)-1)/RIGHT(B11,LEN(B11)-FIND("/", B11)))</f>
        <v>1</v>
      </c>
    </row>
    <row r="12" spans="1:9" x14ac:dyDescent="0.25">
      <c r="A12" s="4" t="s">
        <v>14</v>
      </c>
      <c r="B12" s="5" t="str">
        <f>"1/1"</f>
        <v>1/1</v>
      </c>
      <c r="C12" s="10"/>
      <c r="D12" s="9" t="e">
        <f>((C12)*(H12)*(I12))/(G12*$F$7)</f>
        <v>#DIV/0!</v>
      </c>
      <c r="E12" s="9" t="e">
        <f>D12/10000</f>
        <v>#DIV/0!</v>
      </c>
      <c r="G12" s="11">
        <f>digestion_page!B13</f>
        <v>2.0002</v>
      </c>
      <c r="H12" s="11">
        <f>digestion_page!C13</f>
        <v>250</v>
      </c>
      <c r="I12" s="11">
        <f>(LEFT(B12,FIND("/",B12)-1)/RIGHT(B12,LEN(B12)-FIND("/", B12)))</f>
        <v>1</v>
      </c>
    </row>
    <row r="14" spans="1:9" x14ac:dyDescent="0.25">
      <c r="A14" s="18" t="s">
        <v>30</v>
      </c>
      <c r="B14" s="18"/>
      <c r="C14" s="12" t="e">
        <f>AVERAGE(D11:D12)</f>
        <v>#DIV/0!</v>
      </c>
    </row>
    <row r="15" spans="1:9" x14ac:dyDescent="0.25">
      <c r="A15" s="18" t="s">
        <v>30</v>
      </c>
      <c r="B15" s="18"/>
      <c r="C15" s="13" t="e">
        <f>AVERAGE(E11:E12)</f>
        <v>#DIV/0!</v>
      </c>
    </row>
    <row r="16" spans="1:9" x14ac:dyDescent="0.25">
      <c r="A16" s="18" t="s">
        <v>31</v>
      </c>
      <c r="B16" s="18"/>
      <c r="C16" s="19"/>
      <c r="D16" s="19"/>
      <c r="E16" s="19"/>
      <c r="F16" s="19"/>
    </row>
    <row r="18" spans="1:9" x14ac:dyDescent="0.25">
      <c r="A18" s="17" t="s">
        <v>32</v>
      </c>
      <c r="B18" s="17"/>
    </row>
    <row r="19" spans="1:9" x14ac:dyDescent="0.25">
      <c r="A19" s="4" t="s">
        <v>19</v>
      </c>
      <c r="B19" s="4" t="s">
        <v>26</v>
      </c>
      <c r="C19" s="4" t="s">
        <v>27</v>
      </c>
      <c r="D19" s="4" t="s">
        <v>33</v>
      </c>
      <c r="E19" s="4" t="s">
        <v>34</v>
      </c>
    </row>
    <row r="20" spans="1:9" x14ac:dyDescent="0.25">
      <c r="A20" s="4" t="s">
        <v>13</v>
      </c>
      <c r="B20" s="5" t="str">
        <f>"1/1"</f>
        <v>1/1</v>
      </c>
      <c r="C20" s="10"/>
      <c r="D20" s="9" t="e">
        <f>((C20)*(H20)*(I20))/(G20*$F$7)</f>
        <v>#DIV/0!</v>
      </c>
      <c r="E20" s="9" t="e">
        <f>D20/10000</f>
        <v>#DIV/0!</v>
      </c>
      <c r="G20" s="11">
        <f>digestion_page!B12</f>
        <v>2.0001000000000002</v>
      </c>
      <c r="H20" s="11">
        <f>digestion_page!C12</f>
        <v>250</v>
      </c>
      <c r="I20" s="11">
        <f>(LEFT(B20,FIND("/",B20)-1)/RIGHT(B20,LEN(B20)-FIND("/", B20)))</f>
        <v>1</v>
      </c>
    </row>
    <row r="21" spans="1:9" x14ac:dyDescent="0.25">
      <c r="A21" s="4" t="s">
        <v>14</v>
      </c>
      <c r="B21" s="5" t="str">
        <f>"1/1"</f>
        <v>1/1</v>
      </c>
      <c r="C21" s="10"/>
      <c r="D21" s="9" t="e">
        <f>((C21)*(H21)*(I21))/(G21*$F$7)</f>
        <v>#DIV/0!</v>
      </c>
      <c r="E21" s="9" t="e">
        <f>D21/10000</f>
        <v>#DIV/0!</v>
      </c>
      <c r="G21" s="11">
        <f>digestion_page!B13</f>
        <v>2.0002</v>
      </c>
      <c r="H21" s="11">
        <f>digestion_page!C13</f>
        <v>250</v>
      </c>
      <c r="I21" s="11">
        <f>(LEFT(B21,FIND("/",B21)-1)/RIGHT(B21,LEN(B21)-FIND("/", B21)))</f>
        <v>1</v>
      </c>
    </row>
    <row r="23" spans="1:9" x14ac:dyDescent="0.25">
      <c r="A23" s="18" t="s">
        <v>35</v>
      </c>
      <c r="B23" s="18"/>
      <c r="C23" s="12" t="e">
        <f>AVERAGE(D20:D21)</f>
        <v>#DIV/0!</v>
      </c>
    </row>
    <row r="24" spans="1:9" x14ac:dyDescent="0.25">
      <c r="A24" s="18" t="s">
        <v>35</v>
      </c>
      <c r="B24" s="18"/>
      <c r="C24" s="13" t="e">
        <f>AVERAGE(E20:E21)</f>
        <v>#DIV/0!</v>
      </c>
    </row>
    <row r="25" spans="1:9" x14ac:dyDescent="0.25">
      <c r="A25" s="18" t="s">
        <v>36</v>
      </c>
      <c r="B25" s="18"/>
      <c r="C25" s="19"/>
      <c r="D25" s="19"/>
      <c r="E25" s="19"/>
      <c r="F25" s="19"/>
    </row>
    <row r="27" spans="1:9" x14ac:dyDescent="0.25">
      <c r="A27" s="17" t="s">
        <v>39</v>
      </c>
      <c r="B27" s="17"/>
    </row>
    <row r="28" spans="1:9" x14ac:dyDescent="0.25">
      <c r="A28" s="4" t="s">
        <v>19</v>
      </c>
      <c r="B28" s="4" t="s">
        <v>26</v>
      </c>
      <c r="C28" s="4" t="s">
        <v>27</v>
      </c>
      <c r="D28" s="4" t="s">
        <v>40</v>
      </c>
      <c r="E28" s="4" t="s">
        <v>41</v>
      </c>
    </row>
    <row r="29" spans="1:9" x14ac:dyDescent="0.25">
      <c r="A29" s="4" t="s">
        <v>16</v>
      </c>
      <c r="B29" s="5" t="str">
        <f>"1/1"</f>
        <v>1/1</v>
      </c>
      <c r="C29" s="10"/>
      <c r="D29" s="9" t="e">
        <f>((C29)*(H29)*(I29))/(G29*$F$7)</f>
        <v>#DIV/0!</v>
      </c>
      <c r="E29" s="9" t="e">
        <f>D29/10000</f>
        <v>#DIV/0!</v>
      </c>
      <c r="G29" s="11">
        <f>digestion_page!B21</f>
        <v>2.0003000000000002</v>
      </c>
      <c r="H29" s="11">
        <f>digestion_page!C21</f>
        <v>250</v>
      </c>
      <c r="I29" s="11">
        <f>(LEFT(B29,FIND("/",B29)-1)/RIGHT(B29,LEN(B29)-FIND("/", B29)))</f>
        <v>1</v>
      </c>
    </row>
    <row r="30" spans="1:9" x14ac:dyDescent="0.25">
      <c r="A30" s="4" t="s">
        <v>17</v>
      </c>
      <c r="B30" s="5" t="str">
        <f>"1/1"</f>
        <v>1/1</v>
      </c>
      <c r="C30" s="10"/>
      <c r="D30" s="9" t="e">
        <f>((C30)*(H30)*(I30))/(G30*$F$7)</f>
        <v>#DIV/0!</v>
      </c>
      <c r="E30" s="9" t="e">
        <f>D30/10000</f>
        <v>#DIV/0!</v>
      </c>
      <c r="G30" s="11">
        <f>digestion_page!B22</f>
        <v>2.0004</v>
      </c>
      <c r="H30" s="11">
        <f>digestion_page!C22</f>
        <v>250</v>
      </c>
      <c r="I30" s="11">
        <f>(LEFT(B30,FIND("/",B30)-1)/RIGHT(B30,LEN(B30)-FIND("/", B30)))</f>
        <v>1</v>
      </c>
    </row>
    <row r="32" spans="1:9" x14ac:dyDescent="0.25">
      <c r="A32" s="18" t="s">
        <v>42</v>
      </c>
      <c r="B32" s="18"/>
      <c r="C32" s="12" t="e">
        <f>AVERAGE(D29:D30)</f>
        <v>#DIV/0!</v>
      </c>
    </row>
    <row r="33" spans="1:6" x14ac:dyDescent="0.25">
      <c r="A33" s="18" t="s">
        <v>42</v>
      </c>
      <c r="B33" s="18"/>
      <c r="C33" s="13" t="e">
        <f>AVERAGE(E29:E30)</f>
        <v>#DIV/0!</v>
      </c>
    </row>
    <row r="34" spans="1:6" x14ac:dyDescent="0.25">
      <c r="A34" s="18" t="s">
        <v>43</v>
      </c>
      <c r="B34" s="18"/>
      <c r="C34" s="19"/>
      <c r="D34" s="19"/>
      <c r="E34" s="19"/>
      <c r="F34" s="19"/>
    </row>
    <row r="36" spans="1:6" x14ac:dyDescent="0.25">
      <c r="B36" s="7" t="s">
        <v>37</v>
      </c>
      <c r="C36" s="20"/>
      <c r="D36" s="20"/>
      <c r="E36" s="20"/>
      <c r="F36" s="20"/>
    </row>
    <row r="37" spans="1:6" x14ac:dyDescent="0.25">
      <c r="C37" s="20"/>
      <c r="D37" s="20"/>
      <c r="E37" s="20"/>
      <c r="F37" s="20"/>
    </row>
    <row r="38" spans="1:6" x14ac:dyDescent="0.25">
      <c r="C38" s="20"/>
      <c r="D38" s="20"/>
      <c r="E38" s="20"/>
      <c r="F38" s="20"/>
    </row>
  </sheetData>
  <mergeCells count="16">
    <mergeCell ref="C36:F38"/>
    <mergeCell ref="A27:B27"/>
    <mergeCell ref="A32:B32"/>
    <mergeCell ref="A33:B33"/>
    <mergeCell ref="A34:B34"/>
    <mergeCell ref="C34:F34"/>
    <mergeCell ref="A18:B18"/>
    <mergeCell ref="A23:B23"/>
    <mergeCell ref="A24:B24"/>
    <mergeCell ref="A25:B25"/>
    <mergeCell ref="C25:F25"/>
    <mergeCell ref="A9:B9"/>
    <mergeCell ref="A14:B14"/>
    <mergeCell ref="A15:B15"/>
    <mergeCell ref="A16:B16"/>
    <mergeCell ref="C16:F16"/>
  </mergeCells>
  <conditionalFormatting sqref="B5">
    <cfRule type="containsBlanks" dxfId="3" priority="1">
      <formula>LEN(TRIM(B5))=0</formula>
    </cfRule>
  </conditionalFormatting>
  <conditionalFormatting sqref="C16:F16">
    <cfRule type="containsBlanks" dxfId="2" priority="2">
      <formula>LEN(TRIM(C16))=0</formula>
    </cfRule>
  </conditionalFormatting>
  <conditionalFormatting sqref="C25:F25">
    <cfRule type="containsBlanks" dxfId="1" priority="3">
      <formula>LEN(TRIM(C25))=0</formula>
    </cfRule>
  </conditionalFormatting>
  <conditionalFormatting sqref="C34:F34">
    <cfRule type="containsBlanks" dxfId="0" priority="4">
      <formula>LEN(TRIM(C34))=0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4" t="s">
        <v>44</v>
      </c>
    </row>
    <row r="3" spans="1:1" x14ac:dyDescent="0.25">
      <c r="A3" s="14" t="s">
        <v>45</v>
      </c>
    </row>
    <row r="5" spans="1:1" x14ac:dyDescent="0.25">
      <c r="A5" s="14" t="s">
        <v>46</v>
      </c>
    </row>
    <row r="6" spans="1:1" x14ac:dyDescent="0.25">
      <c r="A6" s="14" t="s">
        <v>47</v>
      </c>
    </row>
    <row r="7" spans="1:1" x14ac:dyDescent="0.25">
      <c r="A7" s="14" t="s">
        <v>48</v>
      </c>
    </row>
    <row r="9" spans="1:1" x14ac:dyDescent="0.25">
      <c r="A9" s="14" t="s">
        <v>49</v>
      </c>
    </row>
    <row r="11" spans="1:1" x14ac:dyDescent="0.25">
      <c r="A11" s="14" t="s">
        <v>50</v>
      </c>
    </row>
    <row r="13" spans="1:1" x14ac:dyDescent="0.25">
      <c r="A13" s="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200120001</vt:lpstr>
      <vt:lpstr>200120002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2026-08-28T15:46:38Z</dcterms:created>
  <dcterms:modified xsi:type="dcterms:W3CDTF">2026-08-28T15:48:47Z</dcterms:modified>
</cp:coreProperties>
</file>