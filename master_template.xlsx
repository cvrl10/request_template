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<sst xmlns="http://schemas.openxmlformats.org/spreadsheetml/2006/main" count="114" uniqueCount="44">
  <si>
    <t>Date:</t>
  </si>
  <si>
    <t>Request ID:</t>
  </si>
  <si>
    <t>test</t>
  </si>
  <si>
    <t>Hotplate</t>
  </si>
  <si>
    <t>Element(s)</t>
  </si>
  <si>
    <t>Cr3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</si>
  <si>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</si>
  <si>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</si>
  <si>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</si>
  <si>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</si>
  <si>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</si>
  <si>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</si>
  <si>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</si>
  <si>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</si>
  <si>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</si>
  <si>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Cr6</t>
  </si>
  <si>
    <t>Cr2O3</t>
  </si>
  <si>
    <t>Cr2O3 titration analysis</t>
  </si>
  <si>
    <t>sample</t>
  </si>
  <si>
    <t>titrant_volume (mL)</t>
  </si>
  <si>
    <t>%Cr2O3</t>
  </si>
  <si>
    <t>FAS:</t>
  </si>
  <si>
    <t>cr2o3 result:</t>
  </si>
  <si>
    <t>Cr6 titration analysis</t>
  </si>
  <si>
    <t>%Cr6</t>
  </si>
  <si>
    <t>cr6 result:</t>
  </si>
  <si>
    <t>Cr3 titration analysis</t>
  </si>
  <si>
    <t>200126511</t>
  </si>
  <si>
    <t>cr3 result:</t>
  </si>
  <si>
    <t>Note(s):</t>
  </si>
  <si>
    <t>200126512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</si>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</sst>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00"/>
    <numFmt numFmtId="167" formatCode="0.0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5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46148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6"/>
      <c r="C10" s="5"/>
    </row>
    <row r="11" spans="1:3">
      <c r="A11" s="4" t="s">
        <v>12</v>
      </c>
      <c r="B11" s="6"/>
      <c r="C11" s="5"/>
    </row>
    <row r="12" spans="1:3">
      <c r="A12" s="4" t="s">
        <v>13</v>
      </c>
      <c r="B12" s="6"/>
      <c r="C12" s="5"/>
    </row>
    <row r="13" spans="1:3">
      <c r="A13" s="4" t="s">
        <v>14</v>
      </c>
      <c r="B13" s="6"/>
      <c r="C13" s="5"/>
    </row>
    <row r="16" spans="1:3">
      <c r="A16" s="3" t="s">
        <v>3</v>
      </c>
      <c r="B16" s="3"/>
      <c r="C16" s="3"/>
    </row>
    <row r="17" spans="1:3">
      <c r="A17" s="4" t="s">
        <v>4</v>
      </c>
      <c r="B17" s="5" t="s">
        <v>15</v>
      </c>
      <c r="C17" s="5"/>
    </row>
    <row r="18" spans="1:3">
      <c r="A18" s="4" t="s">
        <v>6</v>
      </c>
      <c r="B18" s="5"/>
      <c r="C18" s="5"/>
    </row>
    <row r="19" spans="1:3">
      <c r="A19" s="4" t="s">
        <v>7</v>
      </c>
      <c r="B19" s="5"/>
      <c r="C19" s="5"/>
    </row>
    <row r="20" spans="1:3">
      <c r="A20" s="4" t="s">
        <v>8</v>
      </c>
      <c r="B20" s="4" t="s">
        <v>9</v>
      </c>
      <c r="C20" s="4" t="s">
        <v>10</v>
      </c>
    </row>
    <row r="21" spans="1:3">
      <c r="A21" s="4" t="s">
        <v>11</v>
      </c>
      <c r="B21" s="6"/>
      <c r="C21" s="5"/>
    </row>
    <row r="22" spans="1:3">
      <c r="A22" s="4" t="s">
        <v>12</v>
      </c>
      <c r="B22" s="6"/>
      <c r="C22" s="5"/>
    </row>
    <row r="23" spans="1:3">
      <c r="A23" s="4" t="s">
        <v>13</v>
      </c>
      <c r="B23" s="6"/>
      <c r="C23" s="5"/>
    </row>
    <row r="24" spans="1:3">
      <c r="A24" s="4" t="s">
        <v>14</v>
      </c>
      <c r="B24" s="6"/>
      <c r="C24" s="5"/>
    </row>
    <row r="27" spans="1:3">
      <c r="A27" s="3" t="s">
        <v>3</v>
      </c>
      <c r="B27" s="3"/>
      <c r="C27" s="3"/>
    </row>
    <row r="28" spans="1:3">
      <c r="A28" s="4" t="s">
        <v>4</v>
      </c>
      <c r="B28" s="5" t="s">
        <v>16</v>
      </c>
      <c r="C28" s="5"/>
    </row>
    <row r="29" spans="1:3">
      <c r="A29" s="4" t="s">
        <v>6</v>
      </c>
      <c r="B29" s="5"/>
      <c r="C29" s="5"/>
    </row>
    <row r="30" spans="1:3">
      <c r="A30" s="4" t="s">
        <v>7</v>
      </c>
      <c r="B30" s="5"/>
      <c r="C30" s="5"/>
    </row>
    <row r="31" spans="1:3">
      <c r="A31" s="4" t="s">
        <v>8</v>
      </c>
      <c r="B31" s="4" t="s">
        <v>9</v>
      </c>
      <c r="C31" s="4" t="s">
        <v>10</v>
      </c>
    </row>
    <row r="32" spans="1:3">
      <c r="A32" s="4" t="s">
        <v>11</v>
      </c>
      <c r="B32" s="6"/>
      <c r="C32" s="5"/>
    </row>
    <row r="33" spans="1:3">
      <c r="A33" s="4" t="s">
        <v>12</v>
      </c>
      <c r="B33" s="6"/>
      <c r="C33" s="5"/>
    </row>
    <row r="34" spans="1:3">
      <c r="A34" s="4" t="s">
        <v>13</v>
      </c>
      <c r="B34" s="6"/>
      <c r="C34" s="5"/>
    </row>
    <row r="35" spans="1:3">
      <c r="A35" s="4" t="s">
        <v>14</v>
      </c>
      <c r="B35" s="6"/>
      <c r="C35" s="5"/>
    </row>
  </sheetData>
  <mergeCells count="12">
    <mergeCell ref="A5:C5"/>
    <mergeCell ref="B6:C6"/>
    <mergeCell ref="B7:C7"/>
    <mergeCell ref="B8:C8"/>
    <mergeCell ref="A16:C16"/>
    <mergeCell ref="B17:C17"/>
    <mergeCell ref="B18:C18"/>
    <mergeCell ref="B19:C19"/>
    <mergeCell ref="A27:C27"/>
    <mergeCell ref="B28:C28"/>
    <mergeCell ref="B29:C29"/>
    <mergeCell ref="B30:C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46148</v>
      </c>
    </row>
    <row r="2" spans="1:7">
      <c r="A2" s="1" t="s">
        <v>1</v>
      </c>
      <c r="B2" t="s">
        <v>2</v>
      </c>
    </row>
    <row r="5" spans="1:7">
      <c r="A5" s="7" t="s">
        <v>17</v>
      </c>
      <c r="B5" s="7"/>
    </row>
    <row r="6" spans="1:7">
      <c r="A6" s="4" t="s">
        <v>18</v>
      </c>
      <c r="B6" s="4" t="s">
        <v>9</v>
      </c>
      <c r="C6" s="4" t="s">
        <v>19</v>
      </c>
      <c r="D6" s="4" t="s">
        <v>20</v>
      </c>
    </row>
    <row r="7" spans="1:7">
      <c r="A7" s="4" t="s">
        <v>11</v>
      </c>
      <c r="B7" s="6">
        <f>G7</f>
        <v>0</v>
      </c>
      <c r="C7" s="8"/>
      <c r="D7" s="9"/>
      <c r="G7" s="10">
        <f>digestion_page!B32</f>
        <v>0</v>
      </c>
    </row>
    <row r="8" spans="1:7">
      <c r="A8" s="4" t="s">
        <v>12</v>
      </c>
      <c r="B8" s="6">
        <f>G8</f>
        <v>0</v>
      </c>
      <c r="C8" s="8"/>
      <c r="D8" s="9"/>
      <c r="G8" s="10">
        <f>digestion_page!B33</f>
        <v>0</v>
      </c>
    </row>
    <row r="10" spans="1:7">
      <c r="A10" s="11" t="s">
        <v>21</v>
      </c>
      <c r="B10" s="11"/>
      <c r="C10" s="7"/>
    </row>
    <row r="11" spans="1:7">
      <c r="A11" s="11" t="s">
        <v>22</v>
      </c>
      <c r="B11" s="11"/>
      <c r="C11" s="12">
        <f>AVERAGE(D7:D8)*(10000)*(1/1)</f>
        <v>0</v>
      </c>
    </row>
    <row r="12" spans="1:7">
      <c r="A12" s="11" t="s">
        <v>22</v>
      </c>
      <c r="B12" s="11"/>
      <c r="C12" s="13">
        <f>AVERAGE(D7:D8)*(1/1)</f>
        <v>0</v>
      </c>
    </row>
    <row r="14" spans="1:7">
      <c r="A14" s="7" t="s">
        <v>23</v>
      </c>
      <c r="B14" s="7"/>
    </row>
    <row r="15" spans="1:7">
      <c r="A15" s="4" t="s">
        <v>18</v>
      </c>
      <c r="B15" s="4" t="s">
        <v>9</v>
      </c>
      <c r="C15" s="4" t="s">
        <v>19</v>
      </c>
      <c r="D15" s="4" t="s">
        <v>24</v>
      </c>
    </row>
    <row r="16" spans="1:7">
      <c r="A16" s="4" t="s">
        <v>11</v>
      </c>
      <c r="B16" s="6">
        <f>G16</f>
        <v>0</v>
      </c>
      <c r="C16" s="8"/>
      <c r="D16" s="9"/>
      <c r="G16" s="10">
        <f>digestion_page!B21</f>
        <v>0</v>
      </c>
    </row>
    <row r="17" spans="1:7">
      <c r="A17" s="4" t="s">
        <v>12</v>
      </c>
      <c r="B17" s="6">
        <f>G17</f>
        <v>0</v>
      </c>
      <c r="C17" s="8"/>
      <c r="D17" s="9"/>
      <c r="G17" s="10">
        <f>digestion_page!B22</f>
        <v>0</v>
      </c>
    </row>
    <row r="19" spans="1:7">
      <c r="A19" s="11" t="s">
        <v>21</v>
      </c>
      <c r="B19" s="11"/>
      <c r="C19" s="7"/>
    </row>
    <row r="20" spans="1:7">
      <c r="A20" s="11" t="s">
        <v>25</v>
      </c>
      <c r="B20" s="11"/>
      <c r="C20" s="12">
        <f>AVERAGE(D16:D17)*(10000)*(1/1)</f>
        <v>0</v>
      </c>
    </row>
    <row r="21" spans="1:7">
      <c r="A21" s="11" t="s">
        <v>25</v>
      </c>
      <c r="B21" s="11"/>
      <c r="C21" s="13">
        <f>AVERAGE(D16:D17)*(1/1)</f>
        <v>0</v>
      </c>
    </row>
    <row r="23" spans="1:7">
      <c r="A23" s="7" t="s">
        <v>26</v>
      </c>
      <c r="B23" s="7"/>
    </row>
    <row r="24" spans="1:7">
      <c r="A24" s="4" t="s">
        <v>18</v>
      </c>
      <c r="B24" s="4" t="s">
        <v>20</v>
      </c>
      <c r="C24" s="4" t="s">
        <v>24</v>
      </c>
    </row>
    <row r="25" spans="1:7">
      <c r="A25" s="4" t="s">
        <v>27</v>
      </c>
      <c r="B25" s="9">
        <f>C12</f>
        <v>0</v>
      </c>
      <c r="C25" s="9">
        <f>C21</f>
        <v>0</v>
      </c>
    </row>
    <row r="27" spans="1:7">
      <c r="A27" s="11" t="s">
        <v>28</v>
      </c>
      <c r="B27" s="11"/>
      <c r="C27" s="12">
        <f>(C12-C21)*(10000)</f>
        <v>0</v>
      </c>
    </row>
    <row r="28" spans="1:7">
      <c r="A28" s="11" t="s">
        <v>28</v>
      </c>
      <c r="B28" s="11"/>
      <c r="C28" s="13">
        <f>(C12-C21)</f>
        <v>0</v>
      </c>
    </row>
    <row r="30" spans="1:7">
      <c r="B30" s="11" t="s">
        <v>29</v>
      </c>
      <c r="C30" s="14"/>
      <c r="D30" s="14"/>
      <c r="E30" s="14"/>
      <c r="F30" s="14"/>
    </row>
    <row r="31" spans="1:7">
      <c r="C31" s="14"/>
      <c r="D31" s="14"/>
      <c r="E31" s="14"/>
      <c r="F31" s="14"/>
    </row>
    <row r="32" spans="1:7">
      <c r="C32" s="14"/>
      <c r="D32" s="14"/>
      <c r="E32" s="14"/>
      <c r="F32" s="14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46148</v>
      </c>
    </row>
    <row r="2" spans="1:7">
      <c r="A2" s="1" t="s">
        <v>1</v>
      </c>
      <c r="B2" t="s">
        <v>2</v>
      </c>
    </row>
    <row r="5" spans="1:7">
      <c r="A5" s="7" t="s">
        <v>17</v>
      </c>
      <c r="B5" s="7"/>
    </row>
    <row r="6" spans="1:7">
      <c r="A6" s="4" t="s">
        <v>18</v>
      </c>
      <c r="B6" s="4" t="s">
        <v>9</v>
      </c>
      <c r="C6" s="4" t="s">
        <v>19</v>
      </c>
      <c r="D6" s="4" t="s">
        <v>20</v>
      </c>
    </row>
    <row r="7" spans="1:7">
      <c r="A7" s="4" t="s">
        <v>13</v>
      </c>
      <c r="B7" s="6">
        <f>G7</f>
        <v>0</v>
      </c>
      <c r="C7" s="8"/>
      <c r="D7" s="9"/>
      <c r="G7" s="10">
        <f>digestion_page!B34</f>
        <v>0</v>
      </c>
    </row>
    <row r="8" spans="1:7">
      <c r="A8" s="4" t="s">
        <v>14</v>
      </c>
      <c r="B8" s="6">
        <f>G8</f>
        <v>0</v>
      </c>
      <c r="C8" s="8"/>
      <c r="D8" s="9"/>
      <c r="G8" s="10">
        <f>digestion_page!B35</f>
        <v>0</v>
      </c>
    </row>
    <row r="10" spans="1:7">
      <c r="A10" s="11" t="s">
        <v>21</v>
      </c>
      <c r="B10" s="11"/>
      <c r="C10" s="7"/>
    </row>
    <row r="11" spans="1:7">
      <c r="A11" s="11" t="s">
        <v>22</v>
      </c>
      <c r="B11" s="11"/>
      <c r="C11" s="12">
        <f>AVERAGE(D7:D8)*(10000)*(1/1)</f>
        <v>0</v>
      </c>
    </row>
    <row r="12" spans="1:7">
      <c r="A12" s="11" t="s">
        <v>22</v>
      </c>
      <c r="B12" s="11"/>
      <c r="C12" s="13">
        <f>AVERAGE(D7:D8)*(1/1)</f>
        <v>0</v>
      </c>
    </row>
    <row r="14" spans="1:7">
      <c r="A14" s="7" t="s">
        <v>23</v>
      </c>
      <c r="B14" s="7"/>
    </row>
    <row r="15" spans="1:7">
      <c r="A15" s="4" t="s">
        <v>18</v>
      </c>
      <c r="B15" s="4" t="s">
        <v>9</v>
      </c>
      <c r="C15" s="4" t="s">
        <v>19</v>
      </c>
      <c r="D15" s="4" t="s">
        <v>24</v>
      </c>
    </row>
    <row r="16" spans="1:7">
      <c r="A16" s="4" t="s">
        <v>13</v>
      </c>
      <c r="B16" s="6">
        <f>G16</f>
        <v>0</v>
      </c>
      <c r="C16" s="8"/>
      <c r="D16" s="9"/>
      <c r="G16" s="10">
        <f>digestion_page!B23</f>
        <v>0</v>
      </c>
    </row>
    <row r="17" spans="1:7">
      <c r="A17" s="4" t="s">
        <v>14</v>
      </c>
      <c r="B17" s="6">
        <f>G17</f>
        <v>0</v>
      </c>
      <c r="C17" s="8"/>
      <c r="D17" s="9"/>
      <c r="G17" s="10">
        <f>digestion_page!B24</f>
        <v>0</v>
      </c>
    </row>
    <row r="19" spans="1:7">
      <c r="A19" s="11" t="s">
        <v>21</v>
      </c>
      <c r="B19" s="11"/>
      <c r="C19" s="7"/>
    </row>
    <row r="20" spans="1:7">
      <c r="A20" s="11" t="s">
        <v>25</v>
      </c>
      <c r="B20" s="11"/>
      <c r="C20" s="12">
        <f>AVERAGE(D16:D17)*(10000)*(1/1)</f>
        <v>0</v>
      </c>
    </row>
    <row r="21" spans="1:7">
      <c r="A21" s="11" t="s">
        <v>25</v>
      </c>
      <c r="B21" s="11"/>
      <c r="C21" s="13">
        <f>AVERAGE(D16:D17)*(1/1)</f>
        <v>0</v>
      </c>
    </row>
    <row r="23" spans="1:7">
      <c r="A23" s="7" t="s">
        <v>26</v>
      </c>
      <c r="B23" s="7"/>
    </row>
    <row r="24" spans="1:7">
      <c r="A24" s="4" t="s">
        <v>18</v>
      </c>
      <c r="B24" s="4" t="s">
        <v>20</v>
      </c>
      <c r="C24" s="4" t="s">
        <v>24</v>
      </c>
    </row>
    <row r="25" spans="1:7">
      <c r="A25" s="4" t="s">
        <v>30</v>
      </c>
      <c r="B25" s="9">
        <f>C12</f>
        <v>0</v>
      </c>
      <c r="C25" s="9">
        <f>C21</f>
        <v>0</v>
      </c>
    </row>
    <row r="27" spans="1:7">
      <c r="A27" s="11" t="s">
        <v>28</v>
      </c>
      <c r="B27" s="11"/>
      <c r="C27" s="12">
        <f>(C12-C21)*(10000)</f>
        <v>0</v>
      </c>
    </row>
    <row r="28" spans="1:7">
      <c r="A28" s="11" t="s">
        <v>28</v>
      </c>
      <c r="B28" s="11"/>
      <c r="C28" s="13">
        <f>(C12-C21)</f>
        <v>0</v>
      </c>
    </row>
    <row r="30" spans="1:7">
      <c r="B30" s="11" t="s">
        <v>29</v>
      </c>
      <c r="C30" s="14"/>
      <c r="D30" s="14"/>
      <c r="E30" s="14"/>
      <c r="F30" s="14"/>
    </row>
    <row r="31" spans="1:7">
      <c r="C31" s="14"/>
      <c r="D31" s="14"/>
      <c r="E31" s="14"/>
      <c r="F31" s="14"/>
    </row>
    <row r="32" spans="1:7">
      <c r="C32" s="14"/>
      <c r="D32" s="14"/>
      <c r="E32" s="14"/>
      <c r="F32" s="14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5" t="s">
        <v>31</v>
      </c>
    </row>
    <row r="2" spans="1:1">
      <c r="A2" s="15" t="s">
        <v>32</v>
      </c>
    </row>
    <row r="3" spans="1:1">
      <c r="A3" s="15" t="s">
        <v>33</v>
      </c>
    </row>
    <row r="5" spans="1:1">
      <c r="A5" s="15" t="s">
        <v>34</v>
      </c>
    </row>
    <row r="7" spans="1:1">
      <c r="A7" s="15" t="s">
        <v>35</v>
      </c>
    </row>
    <row r="9" spans="1:1">
      <c r="A9" s="15" t="s">
        <v>36</v>
      </c>
    </row>
    <row r="11" spans="1:1">
      <c r="A11" s="15" t="s">
        <v>37</v>
      </c>
    </row>
    <row r="13" spans="1:1">
      <c r="A13" s="15" t="s">
        <v>38</v>
      </c>
    </row>
    <row r="15" spans="1:1">
      <c r="A15" s="15" t="s">
        <v>39</v>
      </c>
    </row>
    <row r="17" spans="1:1">
      <c r="A17" s="15" t="s">
        <v>40</v>
      </c>
    </row>
    <row r="19" spans="1:1">
      <c r="A19" s="15" t="s">
        <v>41</v>
      </c>
    </row>
    <row r="21" spans="1:1">
      <c r="A21" s="15" t="s">
        <v>42</v>
      </c>
    </row>
    <row r="23" spans="1:1">
      <c r="A23" s="15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200126511</vt:lpstr>
      <vt:lpstr>200126512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2026-05-06T14:38:02Z</dcterms:created>
  <dcterms:modified xsi:type="dcterms:W3CDTF">2026-05-06T14:38:02Z</dcterms:modified>
</cp:coreProperties>
</file>