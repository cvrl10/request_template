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<sst xmlns="http://schemas.openxmlformats.org/spreadsheetml/2006/main" count="63" uniqueCount="43">
  <si>
    <t>Date:</t>
  </si>
  <si>
    <t>Request ID:</t>
  </si>
  <si>
    <t>100046511</t>
  </si>
  <si>
    <t>other</t>
  </si>
  <si>
    <t>Element(s)</t>
  </si>
  <si>
    <t>Cr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</si>
  <si>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</si>
  <si>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</si>
  <si>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</si>
  <si>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</si>
  <si>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</si>
  <si>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</si>
  <si>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</si>
  <si>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Cr2O3</t>
  </si>
  <si>
    <t>Cr ICP analysis</t>
  </si>
  <si>
    <t>sample</t>
  </si>
  <si>
    <t>Dilution</t>
  </si>
  <si>
    <t>conc. [mg/L]</t>
  </si>
  <si>
    <t>Cr_ppm</t>
  </si>
  <si>
    <t>%Cr</t>
  </si>
  <si>
    <t>cr result:</t>
  </si>
  <si>
    <t>cr oxide factor:</t>
  </si>
  <si>
    <t>cr oxide result:</t>
  </si>
  <si>
    <t>cr lot:</t>
  </si>
  <si>
    <t>Cr2O3 titration analysis</t>
  </si>
  <si>
    <t>titrant_volume (mL)</t>
  </si>
  <si>
    <t>%Cr2O3</t>
  </si>
  <si>
    <t>FAS:</t>
  </si>
  <si>
    <t>reported result: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</si>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</sst>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0.00&quot; ppm&quot;"/>
    <numFmt numFmtId="167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/>
    </xf>
    <xf numFmtId="165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0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46138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5"/>
      <c r="C10" s="5"/>
    </row>
    <row r="11" spans="1:3">
      <c r="A11" s="4" t="s">
        <v>12</v>
      </c>
      <c r="B11" s="5"/>
      <c r="C11" s="5"/>
    </row>
    <row r="14" spans="1:3">
      <c r="A14" s="3" t="s">
        <v>3</v>
      </c>
      <c r="B14" s="3"/>
      <c r="C14" s="3"/>
    </row>
    <row r="15" spans="1:3">
      <c r="A15" s="4" t="s">
        <v>4</v>
      </c>
      <c r="B15" s="5" t="s">
        <v>13</v>
      </c>
      <c r="C15" s="5"/>
    </row>
    <row r="16" spans="1:3">
      <c r="A16" s="4" t="s">
        <v>6</v>
      </c>
      <c r="B16" s="5"/>
      <c r="C16" s="5"/>
    </row>
    <row r="17" spans="1:3">
      <c r="A17" s="4" t="s">
        <v>7</v>
      </c>
      <c r="B17" s="5"/>
      <c r="C17" s="5"/>
    </row>
    <row r="18" spans="1:3">
      <c r="A18" s="4" t="s">
        <v>8</v>
      </c>
      <c r="B18" s="4" t="s">
        <v>9</v>
      </c>
      <c r="C18" s="4" t="s">
        <v>10</v>
      </c>
    </row>
    <row r="19" spans="1:3">
      <c r="A19" s="4" t="s">
        <v>11</v>
      </c>
      <c r="B19" s="5"/>
      <c r="C19" s="5"/>
    </row>
    <row r="20" spans="1:3">
      <c r="A20" s="4" t="s">
        <v>12</v>
      </c>
      <c r="B20" s="5"/>
      <c r="C20" s="5"/>
    </row>
  </sheetData>
  <mergeCells count="8">
    <mergeCell ref="A5:C5"/>
    <mergeCell ref="B6:C6"/>
    <mergeCell ref="B7:C7"/>
    <mergeCell ref="B8:C8"/>
    <mergeCell ref="A14:C14"/>
    <mergeCell ref="B15:C15"/>
    <mergeCell ref="B16:C16"/>
    <mergeCell ref="B17:C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7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  <col min="5" max="5" width="4.42578125" bestFit="1" customWidth="1"/>
  </cols>
  <sheetData>
    <row r="1" spans="1:9">
      <c r="A1" s="1" t="s">
        <v>0</v>
      </c>
      <c r="B1" s="2">
        <v>46138</v>
      </c>
    </row>
    <row r="2" spans="1:9">
      <c r="A2" s="1" t="s">
        <v>1</v>
      </c>
      <c r="B2" t="s">
        <v>2</v>
      </c>
    </row>
    <row r="5" spans="1:9">
      <c r="A5" s="6" t="s">
        <v>14</v>
      </c>
      <c r="B5" s="6"/>
    </row>
    <row r="6" spans="1:9">
      <c r="A6" s="4" t="s">
        <v>15</v>
      </c>
      <c r="B6" s="4" t="s">
        <v>16</v>
      </c>
      <c r="C6" s="4" t="s">
        <v>17</v>
      </c>
      <c r="D6" s="4" t="s">
        <v>18</v>
      </c>
      <c r="E6" s="4" t="s">
        <v>19</v>
      </c>
    </row>
    <row r="7" spans="1:9">
      <c r="A7" s="4" t="s">
        <v>11</v>
      </c>
      <c r="B7" s="5">
        <f>"1/1"</f>
        <v>0</v>
      </c>
      <c r="C7" s="5"/>
      <c r="D7" s="7">
        <f>((C7)*(H7)*(I7))/(G7*1)</f>
        <v>0</v>
      </c>
      <c r="E7" s="7">
        <f>D7/10000</f>
        <v>0</v>
      </c>
      <c r="G7" s="8">
        <f>digestion_page!B10</f>
        <v>0</v>
      </c>
      <c r="H7" s="8">
        <f>digestion_page!C10</f>
        <v>0</v>
      </c>
      <c r="I7" s="8">
        <f>(LEFT(B7,FIND("/",B7)-1)/RIGHT(B7,LEN(B7)-FIND("/", B7)))</f>
        <v>0</v>
      </c>
    </row>
    <row r="8" spans="1:9">
      <c r="A8" s="4" t="s">
        <v>12</v>
      </c>
      <c r="B8" s="5">
        <f>"1/1"</f>
        <v>0</v>
      </c>
      <c r="C8" s="5"/>
      <c r="D8" s="7">
        <f>((C8)*(H8)*(I8))/(G8*1)</f>
        <v>0</v>
      </c>
      <c r="E8" s="7">
        <f>D8/10000</f>
        <v>0</v>
      </c>
      <c r="G8" s="8">
        <f>digestion_page!B11</f>
        <v>0</v>
      </c>
      <c r="H8" s="8">
        <f>digestion_page!C11</f>
        <v>0</v>
      </c>
      <c r="I8" s="8">
        <f>(LEFT(B8,FIND("/",B8)-1)/RIGHT(B8,LEN(B8)-FIND("/", B8)))</f>
        <v>0</v>
      </c>
    </row>
    <row r="10" spans="1:9">
      <c r="A10" s="9" t="s">
        <v>20</v>
      </c>
      <c r="B10" s="9"/>
      <c r="C10" s="10">
        <f>AVERAGE(D7:D8)</f>
        <v>0</v>
      </c>
    </row>
    <row r="11" spans="1:9">
      <c r="A11" s="9" t="s">
        <v>20</v>
      </c>
      <c r="B11" s="9"/>
      <c r="C11" s="11">
        <f>AVERAGE(E7:E8)</f>
        <v>0</v>
      </c>
    </row>
    <row r="12" spans="1:9">
      <c r="A12" s="9" t="s">
        <v>21</v>
      </c>
      <c r="B12" s="9"/>
      <c r="C12" s="6"/>
    </row>
    <row r="13" spans="1:9">
      <c r="A13" s="9" t="s">
        <v>22</v>
      </c>
      <c r="B13" s="9"/>
      <c r="C13" s="11">
        <f>AVERAGE(E7:E8)*(C12)</f>
        <v>0</v>
      </c>
    </row>
    <row r="14" spans="1:9">
      <c r="A14" s="9" t="s">
        <v>23</v>
      </c>
      <c r="B14" s="9"/>
      <c r="C14" s="12"/>
      <c r="D14" s="12"/>
      <c r="E14" s="12"/>
      <c r="F14" s="12"/>
    </row>
    <row r="16" spans="1:9">
      <c r="A16" s="6" t="s">
        <v>24</v>
      </c>
      <c r="B16" s="6"/>
    </row>
    <row r="17" spans="1:7">
      <c r="A17" s="4" t="s">
        <v>15</v>
      </c>
      <c r="B17" s="4" t="s">
        <v>9</v>
      </c>
      <c r="C17" s="4" t="s">
        <v>25</v>
      </c>
      <c r="D17" s="4" t="s">
        <v>26</v>
      </c>
    </row>
    <row r="18" spans="1:7">
      <c r="A18" s="4" t="s">
        <v>11</v>
      </c>
      <c r="B18" s="5">
        <f>G18</f>
        <v>0</v>
      </c>
      <c r="C18" s="5"/>
      <c r="D18" s="5"/>
      <c r="G18" s="8">
        <f>digestion_page!B19</f>
        <v>0</v>
      </c>
    </row>
    <row r="19" spans="1:7">
      <c r="A19" s="4" t="s">
        <v>12</v>
      </c>
      <c r="B19" s="5">
        <f>G19</f>
        <v>0</v>
      </c>
      <c r="C19" s="5"/>
      <c r="D19" s="5"/>
      <c r="G19" s="8">
        <f>digestion_page!B20</f>
        <v>0</v>
      </c>
    </row>
    <row r="21" spans="1:7">
      <c r="A21" s="9" t="s">
        <v>27</v>
      </c>
      <c r="B21" s="9"/>
      <c r="C21" s="6"/>
    </row>
    <row r="22" spans="1:7">
      <c r="A22" s="9" t="s">
        <v>28</v>
      </c>
      <c r="B22" s="9"/>
      <c r="C22" s="10">
        <f>AVERAGE(D18:D19)*(10000)*(1/1)</f>
        <v>0</v>
      </c>
    </row>
    <row r="23" spans="1:7">
      <c r="A23" s="9" t="s">
        <v>28</v>
      </c>
      <c r="B23" s="9"/>
      <c r="C23" s="11">
        <f>AVERAGE(D18:D19)*(1/1)</f>
        <v>0</v>
      </c>
    </row>
    <row r="25" spans="1:7">
      <c r="B25" s="9" t="s">
        <v>29</v>
      </c>
      <c r="C25" s="13"/>
      <c r="D25" s="13"/>
      <c r="E25" s="13"/>
      <c r="F25" s="13"/>
    </row>
    <row r="26" spans="1:7">
      <c r="C26" s="13"/>
      <c r="D26" s="13"/>
      <c r="E26" s="13"/>
      <c r="F26" s="13"/>
    </row>
    <row r="27" spans="1:7">
      <c r="C27" s="13"/>
      <c r="D27" s="13"/>
      <c r="E27" s="13"/>
      <c r="F27" s="13"/>
    </row>
  </sheetData>
  <mergeCells count="12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C25:F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4" t="s">
        <v>30</v>
      </c>
    </row>
    <row r="2" spans="1:1">
      <c r="A2" s="14" t="s">
        <v>31</v>
      </c>
    </row>
    <row r="3" spans="1:1">
      <c r="A3" s="14" t="s">
        <v>32</v>
      </c>
    </row>
    <row r="5" spans="1:1">
      <c r="A5" s="14" t="s">
        <v>33</v>
      </c>
    </row>
    <row r="7" spans="1:1">
      <c r="A7" s="14" t="s">
        <v>34</v>
      </c>
    </row>
    <row r="9" spans="1:1">
      <c r="A9" s="14" t="s">
        <v>35</v>
      </c>
    </row>
    <row r="11" spans="1:1">
      <c r="A11" s="14" t="s">
        <v>36</v>
      </c>
    </row>
    <row r="13" spans="1:1">
      <c r="A13" s="14" t="s">
        <v>37</v>
      </c>
    </row>
    <row r="15" spans="1:1">
      <c r="A15" s="14" t="s">
        <v>38</v>
      </c>
    </row>
    <row r="17" spans="1:1">
      <c r="A17" s="14" t="s">
        <v>39</v>
      </c>
    </row>
    <row r="19" spans="1:1">
      <c r="A19" s="14" t="s">
        <v>40</v>
      </c>
    </row>
    <row r="21" spans="1:1">
      <c r="A21" s="14" t="s">
        <v>41</v>
      </c>
    </row>
    <row r="23" spans="1:1">
      <c r="A23" s="14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200126511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2026-04-27T02:13:54Z</dcterms:created>
  <dcterms:modified xsi:type="dcterms:W3CDTF">2026-04-27T02:13:54Z</dcterms:modified>
</cp:coreProperties>
</file>