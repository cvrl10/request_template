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"/>
    </mc:Choice>
  </mc:AlternateContent>
  <xr:revisionPtr revIDLastSave="0" documentId="13_ncr:1_{3FD3B338-AC2D-47F9-B79E-46A65F62DF9B}" xr6:coauthVersionLast="47" xr6:coauthVersionMax="47" xr10:uidLastSave="{00000000-0000-0000-0000-000000000000}"/>
  <bookViews>
    <workbookView xWindow="28680" yWindow="-1830" windowWidth="29040" windowHeight="15720" activeTab="1" xr2:uid="{00000000-000D-0000-FFFF-FFFF00000000}"/>
  </bookViews>
  <sheets>
    <sheet name="digestion_page" sheetId="1" r:id="rId1"/>
    <sheet name="200127647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I8" i="2" s="1"/>
  <c r="B7" i="2"/>
  <c r="I7" i="2" s="1"/>
  <c r="H8" i="2"/>
  <c r="G8" i="2"/>
  <c r="H7" i="2"/>
  <c r="G7" i="2"/>
  <c r="D7" i="2" l="1"/>
  <c r="E7" i="2"/>
  <c r="D8" i="2"/>
  <c r="E8" i="2" s="1"/>
  <c r="C10" i="2" l="1"/>
  <c r="C13" i="2"/>
  <c r="C11" i="2"/>
</calcChain>
</file>

<file path=xl/sharedStrings.xml><?xml version="1.0" encoding="utf-8"?>
<sst xmlns="http://schemas.openxmlformats.org/spreadsheetml/2006/main" count="45" uniqueCount="39">
  <si>
    <t>Date:</t>
  </si>
  <si>
    <t>Request ID:</t>
  </si>
  <si>
    <t>100048453</t>
  </si>
  <si>
    <t>Katanax</t>
  </si>
  <si>
    <t>Element(s)</t>
  </si>
  <si>
    <t>Fe</t>
  </si>
  <si>
    <t>SOP#</t>
  </si>
  <si>
    <t>Acid Cocktail</t>
  </si>
  <si>
    <t>sample(s)</t>
  </si>
  <si>
    <t>weight (g)</t>
  </si>
  <si>
    <t>volume (mL)</t>
  </si>
  <si>
    <t>200127647_1</t>
  </si>
  <si>
    <t>200127647_2</t>
  </si>
  <si>
    <t>Fe ICP analysis</t>
  </si>
  <si>
    <t>sample</t>
  </si>
  <si>
    <t>Dilution</t>
  </si>
  <si>
    <t>conc. [mg/L]</t>
  </si>
  <si>
    <t>Fe_ppm</t>
  </si>
  <si>
    <t>%Fe</t>
  </si>
  <si>
    <t>fe result:</t>
  </si>
  <si>
    <t>fe oxide factor:</t>
  </si>
  <si>
    <t>fe oxide result:</t>
  </si>
  <si>
    <t>fe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</si>
  <si>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</si>
  <si>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</si>
  <si>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</si>
  <si>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</si>
  <si>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</si>
  <si>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</si>
  <si>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</si>
  <si>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</si>
  <si>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</si>
  <si>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</si>
  <si>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</si>
  <si>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</si>
  <si>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</si>
  <si>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</si>
  <si>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50 mL 1:1 HCl</t>
  </si>
  <si>
    <t>Manufacturer: Assurance, 28-75FEY exp: 2026-07-30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</si>
</sst>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0" fillId="2" borderId="0" xfId="0" applyFill="1" applyAlignment="1">
      <alignment horizontal="right"/>
    </xf>
    <xf numFmtId="167" fontId="0" fillId="2" borderId="0" xfId="0" applyNumberFormat="1" applyFill="1" applyAlignment="1">
      <alignment horizontal="left"/>
    </xf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C20" sqref="C20"/>
    </sheetView>
  </sheetViews>
  <sheetFormatPr defaultRowHeight="15" x14ac:dyDescent="0.25"/>
  <cols>
    <col min="1" max="1" width="12.7109375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46141</v>
      </c>
    </row>
    <row r="2" spans="1:3" x14ac:dyDescent="0.25">
      <c r="A2" s="1" t="s">
        <v>1</v>
      </c>
      <c r="B2" t="s">
        <v>2</v>
      </c>
    </row>
    <row r="5" spans="1:3" x14ac:dyDescent="0.25">
      <c r="A5" s="13" t="s">
        <v>3</v>
      </c>
      <c r="B5" s="13"/>
      <c r="C5" s="13"/>
    </row>
    <row r="6" spans="1:3" x14ac:dyDescent="0.25">
      <c r="A6" s="3" t="s">
        <v>4</v>
      </c>
      <c r="B6" s="14" t="s">
        <v>5</v>
      </c>
      <c r="C6" s="14"/>
    </row>
    <row r="7" spans="1:3" x14ac:dyDescent="0.25">
      <c r="A7" s="3" t="s">
        <v>6</v>
      </c>
      <c r="B7" s="14"/>
      <c r="C7" s="14"/>
    </row>
    <row r="8" spans="1:3" x14ac:dyDescent="0.25">
      <c r="A8" s="3" t="s">
        <v>7</v>
      </c>
      <c r="B8" s="14" t="s">
        <v>37</v>
      </c>
      <c r="C8" s="14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5">
        <v>0.30449999999999999</v>
      </c>
      <c r="C10" s="4">
        <v>250</v>
      </c>
    </row>
    <row r="11" spans="1:3" x14ac:dyDescent="0.25">
      <c r="A11" s="3" t="s">
        <v>12</v>
      </c>
      <c r="B11" s="5">
        <v>0.30580000000000002</v>
      </c>
      <c r="C11" s="4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tabSelected="1" workbookViewId="0">
      <selection activeCell="F27" sqref="F27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  <col min="6" max="6" width="20.28515625" customWidth="1"/>
  </cols>
  <sheetData>
    <row r="1" spans="1:9" x14ac:dyDescent="0.25">
      <c r="A1" s="1" t="s">
        <v>0</v>
      </c>
      <c r="B1" s="2">
        <v>46141</v>
      </c>
    </row>
    <row r="2" spans="1:9" x14ac:dyDescent="0.25">
      <c r="A2" s="1" t="s">
        <v>1</v>
      </c>
      <c r="B2" t="s">
        <v>2</v>
      </c>
    </row>
    <row r="5" spans="1:9" x14ac:dyDescent="0.25">
      <c r="A5" s="15" t="s">
        <v>13</v>
      </c>
      <c r="B5" s="15"/>
    </row>
    <row r="6" spans="1:9" x14ac:dyDescent="0.25">
      <c r="A6" s="3" t="s">
        <v>14</v>
      </c>
      <c r="B6" s="3" t="s">
        <v>15</v>
      </c>
      <c r="C6" s="3" t="s">
        <v>16</v>
      </c>
      <c r="D6" s="3" t="s">
        <v>17</v>
      </c>
      <c r="E6" s="3" t="s">
        <v>18</v>
      </c>
    </row>
    <row r="7" spans="1:9" x14ac:dyDescent="0.25">
      <c r="A7" s="3" t="s">
        <v>11</v>
      </c>
      <c r="B7" s="4" t="str">
        <f>"10/9"</f>
        <v>10/9</v>
      </c>
      <c r="C7" s="7"/>
      <c r="D7" s="8">
        <f>((C7)*(H7)*(I7))/(G7*1)</f>
        <v>0</v>
      </c>
      <c r="E7" s="8">
        <f>D7/10000</f>
        <v>0</v>
      </c>
      <c r="G7" s="9">
        <f>digestion_page!B10</f>
        <v>0.30449999999999999</v>
      </c>
      <c r="H7" s="9">
        <f>digestion_page!C10</f>
        <v>250</v>
      </c>
      <c r="I7" s="9">
        <f>(LEFT(B7,FIND("/",B7)-1)/RIGHT(B7,LEN(B7)-FIND("/", B7)))</f>
        <v>1.1111111111111112</v>
      </c>
    </row>
    <row r="8" spans="1:9" x14ac:dyDescent="0.25">
      <c r="A8" s="3" t="s">
        <v>12</v>
      </c>
      <c r="B8" s="4" t="str">
        <f>"10/9"</f>
        <v>10/9</v>
      </c>
      <c r="C8" s="7"/>
      <c r="D8" s="8">
        <f>((C8)*(H8)*(I8))/(G8*1)</f>
        <v>0</v>
      </c>
      <c r="E8" s="8">
        <f>D8/10000</f>
        <v>0</v>
      </c>
      <c r="G8" s="9">
        <f>digestion_page!B11</f>
        <v>0.30580000000000002</v>
      </c>
      <c r="H8" s="9">
        <f>digestion_page!C11</f>
        <v>250</v>
      </c>
      <c r="I8" s="9">
        <f>(LEFT(B8,FIND("/",B8)-1)/RIGHT(B8,LEN(B8)-FIND("/", B8)))</f>
        <v>1.1111111111111112</v>
      </c>
    </row>
    <row r="10" spans="1:9" x14ac:dyDescent="0.25">
      <c r="A10" s="19" t="s">
        <v>19</v>
      </c>
      <c r="B10" s="19"/>
      <c r="C10" s="20">
        <f>AVERAGE(D7:D8)</f>
        <v>0</v>
      </c>
    </row>
    <row r="11" spans="1:9" x14ac:dyDescent="0.25">
      <c r="A11" s="16" t="s">
        <v>19</v>
      </c>
      <c r="B11" s="16"/>
      <c r="C11" s="11">
        <f>AVERAGE(E7:E8)</f>
        <v>0</v>
      </c>
    </row>
    <row r="12" spans="1:9" x14ac:dyDescent="0.25">
      <c r="A12" s="16" t="s">
        <v>20</v>
      </c>
      <c r="B12" s="16"/>
      <c r="C12" s="6"/>
    </row>
    <row r="13" spans="1:9" x14ac:dyDescent="0.25">
      <c r="A13" s="16" t="s">
        <v>21</v>
      </c>
      <c r="B13" s="16"/>
      <c r="C13" s="11">
        <f>AVERAGE(E7:E8)*(C12)</f>
        <v>0</v>
      </c>
    </row>
    <row r="14" spans="1:9" x14ac:dyDescent="0.25">
      <c r="A14" s="16" t="s">
        <v>22</v>
      </c>
      <c r="B14" s="16"/>
      <c r="C14" s="17" t="s">
        <v>38</v>
      </c>
      <c r="D14" s="17"/>
      <c r="E14" s="17"/>
      <c r="F14" s="17"/>
    </row>
    <row r="16" spans="1:9" x14ac:dyDescent="0.25">
      <c r="B16" s="10" t="s">
        <v>23</v>
      </c>
      <c r="C16" s="18"/>
      <c r="D16" s="18"/>
      <c r="E16" s="18"/>
      <c r="F16" s="18"/>
    </row>
    <row r="17" spans="3:6" x14ac:dyDescent="0.25">
      <c r="C17" s="18"/>
      <c r="D17" s="18"/>
      <c r="E17" s="18"/>
      <c r="F17" s="18"/>
    </row>
    <row r="18" spans="3:6" x14ac:dyDescent="0.25">
      <c r="C18" s="18"/>
      <c r="D18" s="18"/>
      <c r="E18" s="18"/>
      <c r="F18" s="18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2" t="s">
        <v>24</v>
      </c>
    </row>
    <row r="2" spans="1:1" x14ac:dyDescent="0.25">
      <c r="A2" s="12" t="s">
        <v>25</v>
      </c>
    </row>
    <row r="3" spans="1:1" x14ac:dyDescent="0.25">
      <c r="A3" s="12" t="s">
        <v>26</v>
      </c>
    </row>
    <row r="5" spans="1:1" x14ac:dyDescent="0.25">
      <c r="A5" s="12" t="s">
        <v>27</v>
      </c>
    </row>
    <row r="7" spans="1:1" x14ac:dyDescent="0.25">
      <c r="A7" s="12" t="s">
        <v>28</v>
      </c>
    </row>
    <row r="9" spans="1:1" x14ac:dyDescent="0.25">
      <c r="A9" s="12" t="s">
        <v>29</v>
      </c>
    </row>
    <row r="11" spans="1:1" x14ac:dyDescent="0.25">
      <c r="A11" s="12" t="s">
        <v>30</v>
      </c>
    </row>
    <row r="13" spans="1:1" x14ac:dyDescent="0.25">
      <c r="A13" s="12" t="s">
        <v>31</v>
      </c>
    </row>
    <row r="15" spans="1:1" x14ac:dyDescent="0.25">
      <c r="A15" s="12" t="s">
        <v>32</v>
      </c>
    </row>
    <row r="17" spans="1:1" x14ac:dyDescent="0.25">
      <c r="A17" s="12" t="s">
        <v>33</v>
      </c>
    </row>
    <row r="19" spans="1:1" x14ac:dyDescent="0.25">
      <c r="A19" s="12" t="s">
        <v>34</v>
      </c>
    </row>
    <row r="21" spans="1:1" x14ac:dyDescent="0.25">
      <c r="A21" s="12" t="s">
        <v>35</v>
      </c>
    </row>
    <row r="23" spans="1:1" x14ac:dyDescent="0.25">
      <c r="A23" s="12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200127647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2026-04-29T20:06:43Z</dcterms:created>
  <dcterms:modified xsi:type="dcterms:W3CDTF">2026-04-29T20:09:12Z</dcterms:modified>
</cp:coreProperties>
</file>