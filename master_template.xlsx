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"/>
    </mc:Choice>
  </mc:AlternateContent>
  <xr:revisionPtr revIDLastSave="0" documentId="13_ncr:1_{39999298-45F6-4171-8438-35DD82485C9C}" xr6:coauthVersionLast="47" xr6:coauthVersionMax="47" xr10:uidLastSave="{00000000-0000-0000-0000-000000000000}"/>
  <bookViews>
    <workbookView xWindow="28680" yWindow="-1830" windowWidth="29040" windowHeight="15720" activeTab="2" xr2:uid="{00000000-000D-0000-FFFF-FFFF00000000}"/>
  </bookViews>
  <sheets>
    <sheet name="digestion_page" sheetId="1" r:id="rId1"/>
    <sheet name="200127554" sheetId="2" r:id="rId2"/>
    <sheet name="20012755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I6" i="3" s="1"/>
  <c r="B7" i="2"/>
  <c r="I7" i="2" s="1"/>
  <c r="B6" i="2"/>
  <c r="H7" i="3"/>
  <c r="G7" i="3"/>
  <c r="I7" i="3"/>
  <c r="D7" i="3" s="1"/>
  <c r="E7" i="3" s="1"/>
  <c r="H6" i="3"/>
  <c r="G6" i="3"/>
  <c r="H7" i="2"/>
  <c r="G7" i="2"/>
  <c r="H6" i="2"/>
  <c r="G6" i="2"/>
  <c r="I6" i="2"/>
  <c r="D7" i="2" l="1"/>
  <c r="E7" i="2" s="1"/>
  <c r="D6" i="3"/>
  <c r="E6" i="3" s="1"/>
  <c r="D6" i="2"/>
  <c r="E6" i="2" s="1"/>
  <c r="C9" i="3"/>
  <c r="C9" i="2" l="1"/>
  <c r="C12" i="2"/>
  <c r="C10" i="2"/>
  <c r="C12" i="3"/>
  <c r="C10" i="3"/>
</calcChain>
</file>

<file path=xl/sharedStrings.xml><?xml version="1.0" encoding="utf-8"?>
<sst xmlns="http://schemas.openxmlformats.org/spreadsheetml/2006/main" count="50" uniqueCount="27">
  <si>
    <t>Date:</t>
  </si>
  <si>
    <t>Request ID:</t>
  </si>
  <si>
    <t>100048420</t>
  </si>
  <si>
    <t>Hotplate</t>
  </si>
  <si>
    <t>Element(s)</t>
  </si>
  <si>
    <t>NO3</t>
  </si>
  <si>
    <t>SOP#</t>
  </si>
  <si>
    <t>sample(s)</t>
  </si>
  <si>
    <t>weight (g)</t>
  </si>
  <si>
    <t>volume (mL)</t>
  </si>
  <si>
    <t>200127554_1</t>
  </si>
  <si>
    <t>200127554_2</t>
  </si>
  <si>
    <t>200127555_1</t>
  </si>
  <si>
    <t>200127555_2</t>
  </si>
  <si>
    <t>sample</t>
  </si>
  <si>
    <t>Dilution</t>
  </si>
  <si>
    <t>conc. [mg/L]</t>
  </si>
  <si>
    <t>NO3_ppm</t>
  </si>
  <si>
    <t>%NO3</t>
  </si>
  <si>
    <t>result:</t>
  </si>
  <si>
    <t>oxide factor:</t>
  </si>
  <si>
    <t>oxide result:</t>
  </si>
  <si>
    <t>lot:</t>
  </si>
  <si>
    <t>Note(s):</t>
  </si>
  <si>
    <t>Cocktail</t>
  </si>
  <si>
    <t>50 mL NaOH</t>
  </si>
  <si>
    <t>Manufacturer: Ricca, 4410M47 exp: 2026-04-30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</si>
</sst>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&quot; ppm&quot;"/>
    <numFmt numFmtId="166" formatCode="0.00&quot; %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2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righ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/>
    <xf numFmtId="0" fontId="0" fillId="2" borderId="0" xfId="0" applyFill="1" applyAlignment="1">
      <alignment horizontal="right"/>
    </xf>
    <xf numFmtId="166" fontId="0" fillId="2" borderId="0" xfId="0" applyNumberForma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workbookViewId="0">
      <selection activeCell="B8" sqref="B8:C8"/>
    </sheetView>
  </sheetViews>
  <sheetFormatPr defaultRowHeight="15" x14ac:dyDescent="0.25"/>
  <cols>
    <col min="1" max="1" width="13.7109375" customWidth="1"/>
    <col min="2" max="2" width="10.42578125" bestFit="1" customWidth="1"/>
    <col min="3" max="3" width="11.7109375" customWidth="1"/>
  </cols>
  <sheetData>
    <row r="1" spans="1:3" x14ac:dyDescent="0.25">
      <c r="A1" s="1" t="s">
        <v>0</v>
      </c>
      <c r="B1" s="2">
        <v>46136</v>
      </c>
    </row>
    <row r="2" spans="1:3" x14ac:dyDescent="0.25">
      <c r="A2" s="1" t="s">
        <v>1</v>
      </c>
      <c r="B2" t="s">
        <v>2</v>
      </c>
    </row>
    <row r="5" spans="1:3" x14ac:dyDescent="0.25">
      <c r="A5" s="11" t="s">
        <v>3</v>
      </c>
      <c r="B5" s="11"/>
      <c r="C5" s="11"/>
    </row>
    <row r="6" spans="1:3" x14ac:dyDescent="0.25">
      <c r="A6" s="3" t="s">
        <v>4</v>
      </c>
      <c r="B6" s="12" t="s">
        <v>5</v>
      </c>
      <c r="C6" s="12"/>
    </row>
    <row r="7" spans="1:3" x14ac:dyDescent="0.25">
      <c r="A7" s="3" t="s">
        <v>6</v>
      </c>
      <c r="B7" s="12"/>
      <c r="C7" s="12"/>
    </row>
    <row r="8" spans="1:3" x14ac:dyDescent="0.25">
      <c r="A8" s="3" t="s">
        <v>24</v>
      </c>
      <c r="B8" s="12" t="s">
        <v>25</v>
      </c>
      <c r="C8" s="12"/>
    </row>
    <row r="9" spans="1:3" x14ac:dyDescent="0.25">
      <c r="A9" s="3" t="s">
        <v>7</v>
      </c>
      <c r="B9" s="3" t="s">
        <v>8</v>
      </c>
      <c r="C9" s="3" t="s">
        <v>9</v>
      </c>
    </row>
    <row r="10" spans="1:3" x14ac:dyDescent="0.25">
      <c r="A10" s="3" t="s">
        <v>10</v>
      </c>
      <c r="B10" s="4">
        <v>1.0065</v>
      </c>
      <c r="C10" s="4">
        <v>100</v>
      </c>
    </row>
    <row r="11" spans="1:3" x14ac:dyDescent="0.25">
      <c r="A11" s="3" t="s">
        <v>11</v>
      </c>
      <c r="B11" s="4">
        <v>1.0065</v>
      </c>
      <c r="C11" s="4">
        <v>100</v>
      </c>
    </row>
    <row r="12" spans="1:3" x14ac:dyDescent="0.25">
      <c r="A12" s="3" t="s">
        <v>12</v>
      </c>
      <c r="B12" s="4">
        <v>1.0014000000000001</v>
      </c>
      <c r="C12" s="4">
        <v>100</v>
      </c>
    </row>
    <row r="13" spans="1:3" x14ac:dyDescent="0.25">
      <c r="A13" s="3" t="s">
        <v>13</v>
      </c>
      <c r="B13" s="4">
        <v>1.0014000000000001</v>
      </c>
      <c r="C13" s="4">
        <v>100</v>
      </c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workbookViewId="0">
      <selection activeCell="C22" sqref="C22"/>
    </sheetView>
  </sheetViews>
  <sheetFormatPr defaultRowHeight="15" x14ac:dyDescent="0.25"/>
  <cols>
    <col min="1" max="1" width="11.7109375" customWidth="1"/>
    <col min="2" max="2" width="10.42578125" bestFit="1" customWidth="1"/>
    <col min="3" max="3" width="12.7109375" customWidth="1"/>
    <col min="4" max="4" width="9.85546875" bestFit="1" customWidth="1"/>
    <col min="5" max="5" width="6.42578125" bestFit="1" customWidth="1"/>
  </cols>
  <sheetData>
    <row r="1" spans="1:9" x14ac:dyDescent="0.25">
      <c r="A1" s="1" t="s">
        <v>0</v>
      </c>
      <c r="B1" s="2">
        <v>46136</v>
      </c>
    </row>
    <row r="2" spans="1:9" x14ac:dyDescent="0.25">
      <c r="A2" s="1" t="s">
        <v>1</v>
      </c>
      <c r="B2" t="s">
        <v>2</v>
      </c>
    </row>
    <row r="5" spans="1:9" x14ac:dyDescent="0.25">
      <c r="A5" s="3" t="s">
        <v>14</v>
      </c>
      <c r="B5" s="3" t="s">
        <v>15</v>
      </c>
      <c r="C5" s="3" t="s">
        <v>16</v>
      </c>
      <c r="D5" s="3" t="s">
        <v>17</v>
      </c>
      <c r="E5" s="3" t="s">
        <v>18</v>
      </c>
    </row>
    <row r="6" spans="1:9" x14ac:dyDescent="0.25">
      <c r="A6" s="3" t="s">
        <v>10</v>
      </c>
      <c r="B6" s="4" t="str">
        <f>"25/8"</f>
        <v>25/8</v>
      </c>
      <c r="C6" s="4">
        <v>13.5944</v>
      </c>
      <c r="D6" s="5">
        <f>((C6)*(H6)*(I6))/(G6*1)</f>
        <v>4220.8147044212619</v>
      </c>
      <c r="E6" s="5">
        <f>D6/10000</f>
        <v>0.42208147044212618</v>
      </c>
      <c r="G6" s="6">
        <f>digestion_page!B10</f>
        <v>1.0065</v>
      </c>
      <c r="H6" s="6">
        <f>digestion_page!C10</f>
        <v>100</v>
      </c>
      <c r="I6" s="6">
        <f>(LEFT(B6,FIND("/",B6)-1)/RIGHT(B6,LEN(B6)-FIND("/", B6)))</f>
        <v>3.125</v>
      </c>
    </row>
    <row r="7" spans="1:9" x14ac:dyDescent="0.25">
      <c r="A7" s="3" t="s">
        <v>11</v>
      </c>
      <c r="B7" s="4" t="str">
        <f>"25/8"</f>
        <v>25/8</v>
      </c>
      <c r="C7" s="4">
        <v>13.5944</v>
      </c>
      <c r="D7" s="5">
        <f>((C7)*(H7)*(I7))/(G7*1)</f>
        <v>4220.8147044212619</v>
      </c>
      <c r="E7" s="5">
        <f>D7/10000</f>
        <v>0.42208147044212618</v>
      </c>
      <c r="G7" s="6">
        <f>digestion_page!B11</f>
        <v>1.0065</v>
      </c>
      <c r="H7" s="6">
        <f>digestion_page!C11</f>
        <v>100</v>
      </c>
      <c r="I7" s="6">
        <f>(LEFT(B7,FIND("/",B7)-1)/RIGHT(B7,LEN(B7)-FIND("/", B7)))</f>
        <v>3.125</v>
      </c>
    </row>
    <row r="9" spans="1:9" x14ac:dyDescent="0.25">
      <c r="A9" s="13" t="s">
        <v>19</v>
      </c>
      <c r="B9" s="13"/>
      <c r="C9" s="8">
        <f>AVERAGE(D6:D7)</f>
        <v>4220.8147044212619</v>
      </c>
    </row>
    <row r="10" spans="1:9" x14ac:dyDescent="0.25">
      <c r="A10" s="16" t="s">
        <v>19</v>
      </c>
      <c r="B10" s="16"/>
      <c r="C10" s="17">
        <f>AVERAGE(E6:E7)</f>
        <v>0.42208147044212618</v>
      </c>
    </row>
    <row r="11" spans="1:9" x14ac:dyDescent="0.25">
      <c r="A11" s="13" t="s">
        <v>20</v>
      </c>
      <c r="B11" s="13"/>
      <c r="C11" s="10"/>
    </row>
    <row r="12" spans="1:9" x14ac:dyDescent="0.25">
      <c r="A12" s="13" t="s">
        <v>21</v>
      </c>
      <c r="B12" s="13"/>
      <c r="C12" s="9">
        <f>AVERAGE(E6:E7)*(C11)</f>
        <v>0</v>
      </c>
    </row>
    <row r="13" spans="1:9" x14ac:dyDescent="0.25">
      <c r="A13" s="13" t="s">
        <v>22</v>
      </c>
      <c r="B13" s="13"/>
      <c r="C13" s="15" t="s">
        <v>26</v>
      </c>
      <c r="D13" s="15"/>
      <c r="E13" s="15"/>
    </row>
    <row r="15" spans="1:9" x14ac:dyDescent="0.25">
      <c r="B15" s="7" t="s">
        <v>23</v>
      </c>
      <c r="C15" s="14"/>
      <c r="D15" s="14"/>
      <c r="E15" s="14"/>
    </row>
    <row r="16" spans="1:9" x14ac:dyDescent="0.25">
      <c r="C16" s="14"/>
      <c r="D16" s="14"/>
      <c r="E16" s="14"/>
    </row>
    <row r="17" spans="3:5" x14ac:dyDescent="0.25">
      <c r="C17" s="14"/>
      <c r="D17" s="14"/>
      <c r="E17" s="14"/>
    </row>
  </sheetData>
  <mergeCells count="6">
    <mergeCell ref="C15:E17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tabSelected="1" workbookViewId="0">
      <selection activeCell="F23" sqref="F23"/>
    </sheetView>
  </sheetViews>
  <sheetFormatPr defaultRowHeight="15" x14ac:dyDescent="0.25"/>
  <cols>
    <col min="1" max="1" width="11.7109375" customWidth="1"/>
    <col min="2" max="2" width="10.42578125" bestFit="1" customWidth="1"/>
    <col min="3" max="3" width="12.7109375" customWidth="1"/>
  </cols>
  <sheetData>
    <row r="1" spans="1:9" x14ac:dyDescent="0.25">
      <c r="A1" s="1" t="s">
        <v>0</v>
      </c>
      <c r="B1" s="2">
        <v>46136</v>
      </c>
    </row>
    <row r="2" spans="1:9" x14ac:dyDescent="0.25">
      <c r="A2" s="1" t="s">
        <v>1</v>
      </c>
      <c r="B2" t="s">
        <v>2</v>
      </c>
    </row>
    <row r="5" spans="1:9" x14ac:dyDescent="0.25">
      <c r="A5" s="3" t="s">
        <v>14</v>
      </c>
      <c r="B5" s="3" t="s">
        <v>15</v>
      </c>
      <c r="C5" s="3" t="s">
        <v>16</v>
      </c>
      <c r="D5" s="3" t="s">
        <v>17</v>
      </c>
      <c r="E5" s="3" t="s">
        <v>18</v>
      </c>
    </row>
    <row r="6" spans="1:9" x14ac:dyDescent="0.25">
      <c r="A6" s="3" t="s">
        <v>12</v>
      </c>
      <c r="B6" s="4" t="str">
        <f>"50/1"</f>
        <v>50/1</v>
      </c>
      <c r="C6" s="4">
        <v>11.608700000000001</v>
      </c>
      <c r="D6" s="5">
        <f>((C6)*(H6)*(I6))/(G6*1)</f>
        <v>57962.352706211306</v>
      </c>
      <c r="E6" s="5">
        <f>D6/10000</f>
        <v>5.7962352706211302</v>
      </c>
      <c r="G6" s="6">
        <f>digestion_page!B12</f>
        <v>1.0014000000000001</v>
      </c>
      <c r="H6" s="6">
        <f>digestion_page!C12</f>
        <v>100</v>
      </c>
      <c r="I6" s="6">
        <f>(LEFT(B6,FIND("/",B6)-1)/RIGHT(B6,LEN(B6)-FIND("/", B6)))</f>
        <v>50</v>
      </c>
    </row>
    <row r="7" spans="1:9" x14ac:dyDescent="0.25">
      <c r="A7" s="3" t="s">
        <v>13</v>
      </c>
      <c r="B7" s="4" t="str">
        <f>"50/1"</f>
        <v>50/1</v>
      </c>
      <c r="C7" s="4">
        <v>11.608700000000001</v>
      </c>
      <c r="D7" s="5">
        <f>((C7)*(H7)*(I7))/(G7*1)</f>
        <v>57962.352706211306</v>
      </c>
      <c r="E7" s="5">
        <f>D7/10000</f>
        <v>5.7962352706211302</v>
      </c>
      <c r="G7" s="6">
        <f>digestion_page!B13</f>
        <v>1.0014000000000001</v>
      </c>
      <c r="H7" s="6">
        <f>digestion_page!C13</f>
        <v>100</v>
      </c>
      <c r="I7" s="6">
        <f>(LEFT(B7,FIND("/",B7)-1)/RIGHT(B7,LEN(B7)-FIND("/", B7)))</f>
        <v>50</v>
      </c>
    </row>
    <row r="9" spans="1:9" x14ac:dyDescent="0.25">
      <c r="A9" s="13" t="s">
        <v>19</v>
      </c>
      <c r="B9" s="13"/>
      <c r="C9" s="8">
        <f>AVERAGE(D6:D7)</f>
        <v>57962.352706211306</v>
      </c>
    </row>
    <row r="10" spans="1:9" x14ac:dyDescent="0.25">
      <c r="A10" s="16" t="s">
        <v>19</v>
      </c>
      <c r="B10" s="16"/>
      <c r="C10" s="17">
        <f>AVERAGE(E6:E7)</f>
        <v>5.7962352706211302</v>
      </c>
    </row>
    <row r="11" spans="1:9" x14ac:dyDescent="0.25">
      <c r="A11" s="13" t="s">
        <v>20</v>
      </c>
      <c r="B11" s="13"/>
      <c r="C11" s="10"/>
    </row>
    <row r="12" spans="1:9" x14ac:dyDescent="0.25">
      <c r="A12" s="13" t="s">
        <v>21</v>
      </c>
      <c r="B12" s="13"/>
      <c r="C12" s="9">
        <f>AVERAGE(E6:E7)*(C11)</f>
        <v>0</v>
      </c>
    </row>
    <row r="13" spans="1:9" x14ac:dyDescent="0.25">
      <c r="A13" s="13" t="s">
        <v>22</v>
      </c>
      <c r="B13" s="13"/>
      <c r="C13" s="15" t="s">
        <v>26</v>
      </c>
      <c r="D13" s="15"/>
      <c r="E13" s="15"/>
    </row>
    <row r="15" spans="1:9" x14ac:dyDescent="0.25">
      <c r="B15" s="7" t="s">
        <v>23</v>
      </c>
      <c r="C15" s="14"/>
      <c r="D15" s="14"/>
      <c r="E15" s="14"/>
    </row>
    <row r="16" spans="1:9" x14ac:dyDescent="0.25">
      <c r="C16" s="14"/>
      <c r="D16" s="14"/>
      <c r="E16" s="14"/>
    </row>
    <row r="17" spans="3:5" x14ac:dyDescent="0.25">
      <c r="C17" s="14"/>
      <c r="D17" s="14"/>
      <c r="E17" s="14"/>
    </row>
  </sheetData>
  <mergeCells count="6">
    <mergeCell ref="C15:E17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200127554</vt:lpstr>
      <vt:lpstr>200127555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 Archemetre</cp:lastModifiedBy>
  <dcterms:created xsi:type="dcterms:W3CDTF">2026-04-24T20:24:48Z</dcterms:created>
  <dcterms:modified xsi:type="dcterms:W3CDTF">2026-04-24T20:30:00Z</dcterms:modified>
</cp:coreProperties>
</file>