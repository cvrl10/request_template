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gestion_page" sheetId="1" r:id="rId1"/>
    <sheet name="200126511" sheetId="2" r:id="rId2"/>
    <sheet name="formula_page" sheetId="3" r:id="rId3"/>
  </sheets>
  <calcPr calcId="124519" fullCalcOnLoad="1"/>
</workbook>
</file>

<file path=xl/sharedStrings.xml><?xml version="1.0" encoding="utf-8"?>
<sst xmlns="http://schemas.openxmlformats.org/spreadsheetml/2006/main" count="77" uniqueCount="41">
  <si>
    <t>Date:</t>
  </si>
  <si>
    <t>Request ID:</t>
  </si>
  <si>
    <t>test</t>
  </si>
  <si>
    <t>Hotplate</t>
  </si>
  <si>
    <t>Element(s)</t>
  </si>
  <si>
    <t>Cr3</t>
  </si>
  <si>
    <t>SOP#</t>
  </si>
  <si>
    <t>Cocktail</t>
  </si>
  <si>
    <t>sample(s)</t>
  </si>
  <si>
    <t>weight (g)</t>
  </si>
  <si>
    <t>volume (mL)</t>
  </si>
  <si>
    <t>200126511_1</t>
  </si>
  <si>
    <t>200126511_2</t>
  </si>
  <si>
    <t>cr2O3</t>
  </si>
  <si>
    <t>Cr(VI)</t>
  </si>
  <si>
    <t>cr2O3 titration analysis</t>
  </si>
  <si>
    <t>sample</t>
  </si>
  <si>
    <t>titrant_volume (mL)</t>
  </si>
  <si>
    <t>%cr2O3</t>
  </si>
  <si>
    <t>FAS:</t>
  </si>
  <si>
    <t>cr2O3 result:</t>
  </si>
  <si>
    <t>Cr(VI) titration analysis</t>
  </si>
  <si>
    <t>%Cr(VI)</t>
  </si>
  <si>
    <t>Cr(VI) result:</t>
  </si>
  <si>
    <t>Cr3 titration analysis</t>
  </si>
  <si>
    <t>200126511</t>
  </si>
  <si>
    <t>Cr3 result:</t>
  </si>
  <si>
    <t>Note(s):</t>
  </si>
  <si>
    <t>A = crucible</t>
  </si>
  <si>
    <t>B = crucible + sample</t>
  </si>
  <si>
    <t>C = crucible + sample after drying</t>
  </si>
  <si>
    <t>%LOI = ([B-A]-[C-A])/(B-A)*100%</t>
  </si>
  <si>
    <t>ppm M+ = [conc.][volume][dilution]/[weight]</t>
  </si>
  <si>
    <t>%M+ = [conc.][volume][dilution]/([weight]*10,000)</t>
  </si>
  <si>
    <t>%MO = [oxide factor]*%M+</t>
  </si>
  <si>
    <t>ppm M+  [dried] = ppm M+/([1-(%LOI)/100])</t>
  </si>
  <si>
    <t>%M+  [dried] = %M+/([1-(%LOI)/100])</t>
  </si>
  <si>
    <t>%MO [dried] = %MO/([1-(%LOI)/100])</t>
  </si>
  <si>
    <t>%Cr(VI) = (1.733[mL FAS][N FAS])/([weight])</t>
  </si>
  <si>
    <t>%Cr2O3 = 1.462*[%Cr(VI)]</t>
  </si>
  <si>
    <t>%Cr(III) = total_Cr - Cr(VI)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</si>
</sst>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00"/>
    <numFmt numFmtId="166" formatCode="0.00&quot; ppm&quot;"/>
    <numFmt numFmtId="167" formatCode="0.00&quot; %&quot;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3" fillId="0" borderId="0" xfId="0" applyFont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1">
    <dxf>
      <fill>
        <patternFill>
          <bgColor rgb="FFFFFF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2" bestFit="1" customWidth="1"/>
    <col min="2" max="2" width="10.7109375" bestFit="1" customWidth="1"/>
    <col min="3" max="3" width="12.140625" bestFit="1" customWidth="1"/>
  </cols>
  <sheetData>
    <row r="1" spans="1:3">
      <c r="A1" s="1" t="s">
        <v>0</v>
      </c>
      <c r="B1" s="2">
        <v>46146</v>
      </c>
    </row>
    <row r="2" spans="1:3">
      <c r="A2" s="1" t="s">
        <v>1</v>
      </c>
      <c r="B2" t="s">
        <v>2</v>
      </c>
    </row>
    <row r="5" spans="1:3">
      <c r="A5" s="3" t="s">
        <v>3</v>
      </c>
      <c r="B5" s="3"/>
      <c r="C5" s="3"/>
    </row>
    <row r="6" spans="1:3">
      <c r="A6" s="4" t="s">
        <v>4</v>
      </c>
      <c r="B6" s="5" t="s">
        <v>5</v>
      </c>
      <c r="C6" s="5"/>
    </row>
    <row r="7" spans="1:3">
      <c r="A7" s="4" t="s">
        <v>6</v>
      </c>
      <c r="B7" s="5"/>
      <c r="C7" s="5"/>
    </row>
    <row r="8" spans="1:3">
      <c r="A8" s="4" t="s">
        <v>7</v>
      </c>
      <c r="B8" s="5"/>
      <c r="C8" s="5"/>
    </row>
    <row r="9" spans="1:3">
      <c r="A9" s="4" t="s">
        <v>8</v>
      </c>
      <c r="B9" s="4" t="s">
        <v>9</v>
      </c>
      <c r="C9" s="4" t="s">
        <v>10</v>
      </c>
    </row>
    <row r="10" spans="1:3">
      <c r="A10" s="4" t="s">
        <v>11</v>
      </c>
      <c r="B10" s="6"/>
      <c r="C10" s="5"/>
    </row>
    <row r="11" spans="1:3">
      <c r="A11" s="4" t="s">
        <v>12</v>
      </c>
      <c r="B11" s="6"/>
      <c r="C11" s="5"/>
    </row>
    <row r="14" spans="1:3">
      <c r="A14" s="3" t="s">
        <v>3</v>
      </c>
      <c r="B14" s="3"/>
      <c r="C14" s="3"/>
    </row>
    <row r="15" spans="1:3">
      <c r="A15" s="4" t="s">
        <v>4</v>
      </c>
      <c r="B15" s="5" t="s">
        <v>13</v>
      </c>
      <c r="C15" s="5"/>
    </row>
    <row r="16" spans="1:3">
      <c r="A16" s="4" t="s">
        <v>6</v>
      </c>
      <c r="B16" s="5"/>
      <c r="C16" s="5"/>
    </row>
    <row r="17" spans="1:3">
      <c r="A17" s="4" t="s">
        <v>7</v>
      </c>
      <c r="B17" s="5"/>
      <c r="C17" s="5"/>
    </row>
    <row r="18" spans="1:3">
      <c r="A18" s="4" t="s">
        <v>8</v>
      </c>
      <c r="B18" s="4" t="s">
        <v>9</v>
      </c>
      <c r="C18" s="4" t="s">
        <v>10</v>
      </c>
    </row>
    <row r="19" spans="1:3">
      <c r="A19" s="4" t="s">
        <v>11</v>
      </c>
      <c r="B19" s="6"/>
      <c r="C19" s="5"/>
    </row>
    <row r="20" spans="1:3">
      <c r="A20" s="4" t="s">
        <v>12</v>
      </c>
      <c r="B20" s="6"/>
      <c r="C20" s="5"/>
    </row>
    <row r="23" spans="1:3">
      <c r="A23" s="3" t="s">
        <v>3</v>
      </c>
      <c r="B23" s="3"/>
      <c r="C23" s="3"/>
    </row>
    <row r="24" spans="1:3">
      <c r="A24" s="4" t="s">
        <v>4</v>
      </c>
      <c r="B24" s="5" t="s">
        <v>14</v>
      </c>
      <c r="C24" s="5"/>
    </row>
    <row r="25" spans="1:3">
      <c r="A25" s="4" t="s">
        <v>6</v>
      </c>
      <c r="B25" s="5"/>
      <c r="C25" s="5"/>
    </row>
    <row r="26" spans="1:3">
      <c r="A26" s="4" t="s">
        <v>7</v>
      </c>
      <c r="B26" s="5"/>
      <c r="C26" s="5"/>
    </row>
    <row r="27" spans="1:3">
      <c r="A27" s="4" t="s">
        <v>8</v>
      </c>
      <c r="B27" s="4" t="s">
        <v>9</v>
      </c>
      <c r="C27" s="4" t="s">
        <v>10</v>
      </c>
    </row>
    <row r="28" spans="1:3">
      <c r="A28" s="4" t="s">
        <v>11</v>
      </c>
      <c r="B28" s="6"/>
      <c r="C28" s="5"/>
    </row>
    <row r="29" spans="1:3">
      <c r="A29" s="4" t="s">
        <v>12</v>
      </c>
      <c r="B29" s="6"/>
      <c r="C29" s="5"/>
    </row>
  </sheetData>
  <mergeCells count="12">
    <mergeCell ref="A5:C5"/>
    <mergeCell ref="B6:C6"/>
    <mergeCell ref="B7:C7"/>
    <mergeCell ref="B8:C8"/>
    <mergeCell ref="A14:C14"/>
    <mergeCell ref="B15:C15"/>
    <mergeCell ref="B16:C16"/>
    <mergeCell ref="B17:C17"/>
    <mergeCell ref="A23:C23"/>
    <mergeCell ref="B24:C24"/>
    <mergeCell ref="B25:C25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cols>
    <col min="1" max="1" width="21.28515625" bestFit="1" customWidth="1"/>
    <col min="2" max="2" width="10.7109375" bestFit="1" customWidth="1"/>
    <col min="3" max="3" width="18.7109375" bestFit="1" customWidth="1"/>
    <col min="4" max="4" width="7.7109375" bestFit="1" customWidth="1"/>
  </cols>
  <sheetData>
    <row r="1" spans="1:7">
      <c r="A1" s="1" t="s">
        <v>0</v>
      </c>
      <c r="B1" s="2">
        <v>46146</v>
      </c>
    </row>
    <row r="2" spans="1:7">
      <c r="A2" s="1" t="s">
        <v>1</v>
      </c>
      <c r="B2" t="s">
        <v>2</v>
      </c>
    </row>
    <row r="5" spans="1:7">
      <c r="A5" s="7" t="s">
        <v>15</v>
      </c>
      <c r="B5" s="7"/>
    </row>
    <row r="6" spans="1:7">
      <c r="A6" s="4" t="s">
        <v>16</v>
      </c>
      <c r="B6" s="4" t="s">
        <v>9</v>
      </c>
      <c r="C6" s="4" t="s">
        <v>17</v>
      </c>
      <c r="D6" s="4" t="s">
        <v>18</v>
      </c>
    </row>
    <row r="7" spans="1:7">
      <c r="A7" s="4" t="s">
        <v>11</v>
      </c>
      <c r="B7" s="6">
        <f>G7</f>
        <v>0</v>
      </c>
      <c r="C7" s="5"/>
      <c r="D7" s="5"/>
      <c r="G7" s="8">
        <f>digestion_page!B19</f>
        <v>0</v>
      </c>
    </row>
    <row r="8" spans="1:7">
      <c r="A8" s="4" t="s">
        <v>12</v>
      </c>
      <c r="B8" s="6">
        <f>G8</f>
        <v>0</v>
      </c>
      <c r="C8" s="5"/>
      <c r="D8" s="5"/>
      <c r="G8" s="8">
        <f>digestion_page!B20</f>
        <v>0</v>
      </c>
    </row>
    <row r="10" spans="1:7">
      <c r="A10" s="9" t="s">
        <v>19</v>
      </c>
      <c r="B10" s="9"/>
      <c r="C10" s="7"/>
    </row>
    <row r="11" spans="1:7">
      <c r="A11" s="9" t="s">
        <v>20</v>
      </c>
      <c r="B11" s="9"/>
      <c r="C11" s="10">
        <f>AVERAGE(D7:D8)*(10000)*(1/1)</f>
        <v>0</v>
      </c>
    </row>
    <row r="12" spans="1:7">
      <c r="A12" s="9" t="s">
        <v>20</v>
      </c>
      <c r="B12" s="9"/>
      <c r="C12" s="11">
        <f>AVERAGE(D7:D8)*(1/1)</f>
        <v>0</v>
      </c>
    </row>
    <row r="14" spans="1:7">
      <c r="A14" s="7" t="s">
        <v>21</v>
      </c>
      <c r="B14" s="7"/>
    </row>
    <row r="15" spans="1:7">
      <c r="A15" s="4" t="s">
        <v>16</v>
      </c>
      <c r="B15" s="4" t="s">
        <v>9</v>
      </c>
      <c r="C15" s="4" t="s">
        <v>17</v>
      </c>
      <c r="D15" s="4" t="s">
        <v>22</v>
      </c>
    </row>
    <row r="16" spans="1:7">
      <c r="A16" s="4" t="s">
        <v>11</v>
      </c>
      <c r="B16" s="6">
        <f>G16</f>
        <v>0</v>
      </c>
      <c r="C16" s="5"/>
      <c r="D16" s="5"/>
      <c r="G16" s="8">
        <f>digestion_page!B28</f>
        <v>0</v>
      </c>
    </row>
    <row r="17" spans="1:7">
      <c r="A17" s="4" t="s">
        <v>12</v>
      </c>
      <c r="B17" s="6">
        <f>G17</f>
        <v>0</v>
      </c>
      <c r="C17" s="5"/>
      <c r="D17" s="5"/>
      <c r="G17" s="8">
        <f>digestion_page!B29</f>
        <v>0</v>
      </c>
    </row>
    <row r="19" spans="1:7">
      <c r="A19" s="9" t="s">
        <v>19</v>
      </c>
      <c r="B19" s="9"/>
      <c r="C19" s="7"/>
    </row>
    <row r="20" spans="1:7">
      <c r="A20" s="9" t="s">
        <v>23</v>
      </c>
      <c r="B20" s="9"/>
      <c r="C20" s="10">
        <f>AVERAGE(D16:D17)*(10000)*(1/1)</f>
        <v>0</v>
      </c>
    </row>
    <row r="21" spans="1:7">
      <c r="A21" s="9" t="s">
        <v>23</v>
      </c>
      <c r="B21" s="9"/>
      <c r="C21" s="11">
        <f>AVERAGE(D16:D17)*(1/1)</f>
        <v>0</v>
      </c>
    </row>
    <row r="23" spans="1:7">
      <c r="A23" s="7" t="s">
        <v>24</v>
      </c>
      <c r="B23" s="7"/>
    </row>
    <row r="24" spans="1:7">
      <c r="A24" s="4" t="s">
        <v>16</v>
      </c>
      <c r="B24" s="4" t="s">
        <v>18</v>
      </c>
      <c r="C24" s="4" t="s">
        <v>22</v>
      </c>
    </row>
    <row r="25" spans="1:7">
      <c r="A25" s="4" t="s">
        <v>25</v>
      </c>
      <c r="B25" s="5">
        <f>C12</f>
        <v>0</v>
      </c>
      <c r="C25" s="5">
        <f>C21</f>
        <v>0</v>
      </c>
    </row>
    <row r="27" spans="1:7">
      <c r="A27" s="9" t="s">
        <v>26</v>
      </c>
      <c r="B27" s="9"/>
      <c r="C27" s="10">
        <f>(C12-C21)*(10000)</f>
        <v>0</v>
      </c>
    </row>
    <row r="28" spans="1:7">
      <c r="A28" s="9" t="s">
        <v>26</v>
      </c>
      <c r="B28" s="9"/>
      <c r="C28" s="11">
        <f>(C12-C21)</f>
        <v>0</v>
      </c>
    </row>
    <row r="30" spans="1:7">
      <c r="B30" s="9" t="s">
        <v>27</v>
      </c>
      <c r="C30" s="12"/>
      <c r="D30" s="12"/>
      <c r="E30" s="12"/>
      <c r="F30" s="12"/>
    </row>
    <row r="31" spans="1:7">
      <c r="C31" s="12"/>
      <c r="D31" s="12"/>
      <c r="E31" s="12"/>
      <c r="F31" s="12"/>
    </row>
    <row r="32" spans="1:7">
      <c r="C32" s="12"/>
      <c r="D32" s="12"/>
      <c r="E32" s="12"/>
      <c r="F32" s="12"/>
    </row>
  </sheetData>
  <mergeCells count="12">
    <mergeCell ref="A5:B5"/>
    <mergeCell ref="A10:B10"/>
    <mergeCell ref="A11:B11"/>
    <mergeCell ref="A12:B12"/>
    <mergeCell ref="A14:B14"/>
    <mergeCell ref="A19:B19"/>
    <mergeCell ref="A20:B20"/>
    <mergeCell ref="A21:B21"/>
    <mergeCell ref="A23:B23"/>
    <mergeCell ref="A27:B27"/>
    <mergeCell ref="A28:B28"/>
    <mergeCell ref="C30:F32"/>
  </mergeCells>
  <conditionalFormatting sqref="C10">
    <cfRule type="containsBlanks" dxfId="0" priority="1">
      <formula>LEN(TRIM(C10))=0</formula>
    </cfRule>
  </conditionalFormatting>
  <conditionalFormatting sqref="C19">
    <cfRule type="containsBlanks" dxfId="0" priority="2">
      <formula>LEN(TRIM(C19))=0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46.140625" bestFit="1" customWidth="1"/>
  </cols>
  <sheetData>
    <row r="1" spans="1:1">
      <c r="A1" s="13" t="s">
        <v>28</v>
      </c>
    </row>
    <row r="2" spans="1:1">
      <c r="A2" s="13" t="s">
        <v>29</v>
      </c>
    </row>
    <row r="3" spans="1:1">
      <c r="A3" s="13" t="s">
        <v>30</v>
      </c>
    </row>
    <row r="5" spans="1:1">
      <c r="A5" s="13" t="s">
        <v>31</v>
      </c>
    </row>
    <row r="7" spans="1:1">
      <c r="A7" s="13" t="s">
        <v>32</v>
      </c>
    </row>
    <row r="9" spans="1:1">
      <c r="A9" s="13" t="s">
        <v>33</v>
      </c>
    </row>
    <row r="11" spans="1:1">
      <c r="A11" s="13" t="s">
        <v>34</v>
      </c>
    </row>
    <row r="13" spans="1:1">
      <c r="A13" s="13" t="s">
        <v>35</v>
      </c>
    </row>
    <row r="15" spans="1:1">
      <c r="A15" s="13" t="s">
        <v>36</v>
      </c>
    </row>
    <row r="17" spans="1:1">
      <c r="A17" s="13" t="s">
        <v>37</v>
      </c>
    </row>
    <row r="19" spans="1:1">
      <c r="A19" s="13" t="s">
        <v>38</v>
      </c>
    </row>
    <row r="21" spans="1:1">
      <c r="A21" s="13" t="s">
        <v>39</v>
      </c>
    </row>
    <row r="23" spans="1:1">
      <c r="A23" s="1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digestion_page</vt:lpstr>
      <vt:lpstr>200126511</vt:lpstr>
      <vt:lpstr>formula_page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2026-05-04T19:17:16Z</dcterms:created>
  <dcterms:modified xsi:type="dcterms:W3CDTF">2026-05-04T19:17:16Z</dcterms:modified>
</cp:coreProperties>
</file>