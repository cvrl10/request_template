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200126514" sheetId="5" r:id="rId5"/>
    <sheet name="formula_page" sheetId="6" r:id="rId6"/>
  </sheets>
  <calcPr calcId="124519" fullCalcOnLoad="1"/>
</workbook>
</file>

<file path=xl/sharedStrings.xml><?xml version="1.0" encoding="utf-8"?>
<sst xmlns="http://schemas.openxmlformats.org/spreadsheetml/2006/main" count="88" uniqueCount="39">
  <si>
    <t>Date:</t>
  </si>
  <si>
    <t>Request ID:</t>
  </si>
  <si>
    <t>test</t>
  </si>
  <si>
    <t>Hotplate</t>
  </si>
  <si>
    <t>Element(s)</t>
  </si>
  <si>
    <t>Cr6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</si>
  <si>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</si>
  <si>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</si>
  <si>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</si>
  <si>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</si>
  <si>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</si>
  <si>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</si>
  <si>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</si>
  <si>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</si>
  <si>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</si>
  <si>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200126513_1</t>
  </si>
  <si>
    <t>200126513_2</t>
  </si>
  <si>
    <t>200126514_1</t>
  </si>
  <si>
    <t>200126514_2</t>
  </si>
  <si>
    <t>Cr6 titration analysis</t>
  </si>
  <si>
    <t>sample</t>
  </si>
  <si>
    <t>titrant_volume (mL)</t>
  </si>
  <si>
    <t>%Cr6</t>
  </si>
  <si>
    <t>FAS:</t>
  </si>
  <si>
    <t>cr6 result:</t>
  </si>
  <si>
    <t>Note(s):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</si>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</sst>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00"/>
    <numFmt numFmtId="167" formatCode="0.0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7"/>
  <sheetViews>
    <sheetView tabSelected="1" workbookViewId="0"/>
  </sheetViews>
  <sheetFormatPr defaultRowHeight="15"/>
  <cols>
    <col min="1" max="1" width="12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46147</v>
      </c>
    </row>
    <row r="2" spans="1:3">
      <c r="A2" s="1" t="s">
        <v>1</v>
      </c>
      <c r="B2" t="s">
        <v>2</v>
      </c>
    </row>
    <row r="5" spans="1:3">
      <c r="A5" s="3" t="s">
        <v>3</v>
      </c>
      <c r="B5" s="3"/>
      <c r="C5" s="3"/>
    </row>
    <row r="6" spans="1:3">
      <c r="A6" s="4" t="s">
        <v>4</v>
      </c>
      <c r="B6" s="5" t="s">
        <v>5</v>
      </c>
      <c r="C6" s="5"/>
    </row>
    <row r="7" spans="1:3">
      <c r="A7" s="4" t="s">
        <v>6</v>
      </c>
      <c r="B7" s="5"/>
      <c r="C7" s="5"/>
    </row>
    <row r="8" spans="1:3">
      <c r="A8" s="4" t="s">
        <v>7</v>
      </c>
      <c r="B8" s="5"/>
      <c r="C8" s="5"/>
    </row>
    <row r="9" spans="1:3">
      <c r="A9" s="4" t="s">
        <v>8</v>
      </c>
      <c r="B9" s="4" t="s">
        <v>9</v>
      </c>
      <c r="C9" s="4" t="s">
        <v>10</v>
      </c>
    </row>
    <row r="10" spans="1:3">
      <c r="A10" s="4" t="s">
        <v>11</v>
      </c>
      <c r="B10" s="6"/>
      <c r="C10" s="5"/>
    </row>
    <row r="11" spans="1:3">
      <c r="A11" s="4" t="s">
        <v>12</v>
      </c>
      <c r="B11" s="6"/>
      <c r="C11" s="5"/>
    </row>
    <row r="12" spans="1:3">
      <c r="A12" s="4" t="s">
        <v>13</v>
      </c>
      <c r="B12" s="6"/>
      <c r="C12" s="5"/>
    </row>
    <row r="13" spans="1:3">
      <c r="A13" s="4" t="s">
        <v>14</v>
      </c>
      <c r="B13" s="6"/>
      <c r="C13" s="5"/>
    </row>
    <row r="14" spans="1:3">
      <c r="A14" s="4" t="s">
        <v>15</v>
      </c>
      <c r="B14" s="6"/>
      <c r="C14" s="5"/>
    </row>
    <row r="15" spans="1:3">
      <c r="A15" s="4" t="s">
        <v>16</v>
      </c>
      <c r="B15" s="6"/>
      <c r="C15" s="5"/>
    </row>
    <row r="16" spans="1:3">
      <c r="A16" s="4" t="s">
        <v>17</v>
      </c>
      <c r="B16" s="6"/>
      <c r="C16" s="5"/>
    </row>
    <row r="17" spans="1:3">
      <c r="A17" s="4" t="s">
        <v>18</v>
      </c>
      <c r="B17" s="6"/>
      <c r="C17" s="5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19" bestFit="1" customWidth="1"/>
    <col min="2" max="2" width="10.7109375" bestFit="1" customWidth="1"/>
    <col min="3" max="3" width="18.7109375" bestFit="1" customWidth="1"/>
    <col min="4" max="4" width="5.42578125" bestFit="1" customWidth="1"/>
  </cols>
  <sheetData>
    <row r="1" spans="1:7">
      <c r="A1" s="1" t="s">
        <v>0</v>
      </c>
      <c r="B1" s="2">
        <v>46147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11</v>
      </c>
      <c r="B7" s="6">
        <f>G7</f>
        <v>0</v>
      </c>
      <c r="C7" s="8"/>
      <c r="D7" s="9"/>
      <c r="G7" s="10">
        <f>digestion_page!B10</f>
        <v>0</v>
      </c>
    </row>
    <row r="8" spans="1:7">
      <c r="A8" s="4" t="s">
        <v>12</v>
      </c>
      <c r="B8" s="6">
        <f>G8</f>
        <v>0</v>
      </c>
      <c r="C8" s="8"/>
      <c r="D8" s="9"/>
      <c r="G8" s="10">
        <f>digestion_page!B11</f>
        <v>0</v>
      </c>
    </row>
    <row r="10" spans="1:7">
      <c r="A10" s="11" t="s">
        <v>23</v>
      </c>
      <c r="B10" s="11"/>
      <c r="C10" s="7"/>
    </row>
    <row r="11" spans="1:7">
      <c r="A11" s="11" t="s">
        <v>24</v>
      </c>
      <c r="B11" s="11"/>
      <c r="C11" s="12">
        <f>AVERAGE(D7:D8)*(10000)*(1/1)</f>
        <v>0</v>
      </c>
    </row>
    <row r="12" spans="1:7">
      <c r="A12" s="11" t="s">
        <v>24</v>
      </c>
      <c r="B12" s="11"/>
      <c r="C12" s="13">
        <f>AVERAGE(D7:D8)*(1/1)</f>
        <v>0</v>
      </c>
    </row>
    <row r="14" spans="1:7">
      <c r="B14" s="11" t="s">
        <v>25</v>
      </c>
      <c r="C14" s="14"/>
      <c r="D14" s="14"/>
      <c r="E14" s="14"/>
      <c r="F14" s="14"/>
    </row>
    <row r="15" spans="1:7">
      <c r="C15" s="14"/>
      <c r="D15" s="14"/>
      <c r="E15" s="14"/>
      <c r="F15" s="14"/>
    </row>
    <row r="16" spans="1:7">
      <c r="C16" s="14"/>
      <c r="D16" s="14"/>
      <c r="E16" s="14"/>
      <c r="F16" s="14"/>
    </row>
  </sheetData>
  <mergeCells count="5">
    <mergeCell ref="A5:B5"/>
    <mergeCell ref="A10:B10"/>
    <mergeCell ref="A11:B11"/>
    <mergeCell ref="A12:B12"/>
    <mergeCell ref="C14:F16"/>
  </mergeCells>
  <conditionalFormatting sqref="C10">
    <cfRule type="containsBlanks" dxfId="0" priority="1">
      <formula>LEN(TRIM(C10))=0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19" bestFit="1" customWidth="1"/>
    <col min="2" max="2" width="10.7109375" bestFit="1" customWidth="1"/>
    <col min="3" max="3" width="18.7109375" bestFit="1" customWidth="1"/>
    <col min="4" max="4" width="5.42578125" bestFit="1" customWidth="1"/>
  </cols>
  <sheetData>
    <row r="1" spans="1:7">
      <c r="A1" s="1" t="s">
        <v>0</v>
      </c>
      <c r="B1" s="2">
        <v>46147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13</v>
      </c>
      <c r="B7" s="6">
        <f>G7</f>
        <v>0</v>
      </c>
      <c r="C7" s="8"/>
      <c r="D7" s="9"/>
      <c r="G7" s="10">
        <f>digestion_page!B12</f>
        <v>0</v>
      </c>
    </row>
    <row r="8" spans="1:7">
      <c r="A8" s="4" t="s">
        <v>14</v>
      </c>
      <c r="B8" s="6">
        <f>G8</f>
        <v>0</v>
      </c>
      <c r="C8" s="8"/>
      <c r="D8" s="9"/>
      <c r="G8" s="10">
        <f>digestion_page!B13</f>
        <v>0</v>
      </c>
    </row>
    <row r="10" spans="1:7">
      <c r="A10" s="11" t="s">
        <v>23</v>
      </c>
      <c r="B10" s="11"/>
      <c r="C10" s="7"/>
    </row>
    <row r="11" spans="1:7">
      <c r="A11" s="11" t="s">
        <v>24</v>
      </c>
      <c r="B11" s="11"/>
      <c r="C11" s="12">
        <f>AVERAGE(D7:D8)*(10000)*(1/1)</f>
        <v>0</v>
      </c>
    </row>
    <row r="12" spans="1:7">
      <c r="A12" s="11" t="s">
        <v>24</v>
      </c>
      <c r="B12" s="11"/>
      <c r="C12" s="13">
        <f>AVERAGE(D7:D8)*(1/1)</f>
        <v>0</v>
      </c>
    </row>
    <row r="14" spans="1:7">
      <c r="B14" s="11" t="s">
        <v>25</v>
      </c>
      <c r="C14" s="14"/>
      <c r="D14" s="14"/>
      <c r="E14" s="14"/>
      <c r="F14" s="14"/>
    </row>
    <row r="15" spans="1:7">
      <c r="C15" s="14"/>
      <c r="D15" s="14"/>
      <c r="E15" s="14"/>
      <c r="F15" s="14"/>
    </row>
    <row r="16" spans="1:7">
      <c r="C16" s="14"/>
      <c r="D16" s="14"/>
      <c r="E16" s="14"/>
      <c r="F16" s="14"/>
    </row>
  </sheetData>
  <mergeCells count="5">
    <mergeCell ref="A5:B5"/>
    <mergeCell ref="A10:B10"/>
    <mergeCell ref="A11:B11"/>
    <mergeCell ref="A12:B12"/>
    <mergeCell ref="C14:F16"/>
  </mergeCells>
  <conditionalFormatting sqref="C10">
    <cfRule type="containsBlanks" dxfId="0" priority="1">
      <formula>LEN(TRIM(C10))=0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19" bestFit="1" customWidth="1"/>
    <col min="2" max="2" width="10.7109375" bestFit="1" customWidth="1"/>
    <col min="3" max="3" width="18.7109375" bestFit="1" customWidth="1"/>
    <col min="4" max="4" width="5.42578125" bestFit="1" customWidth="1"/>
  </cols>
  <sheetData>
    <row r="1" spans="1:7">
      <c r="A1" s="1" t="s">
        <v>0</v>
      </c>
      <c r="B1" s="2">
        <v>46147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15</v>
      </c>
      <c r="B7" s="6">
        <f>G7</f>
        <v>0</v>
      </c>
      <c r="C7" s="8"/>
      <c r="D7" s="9"/>
      <c r="G7" s="10">
        <f>digestion_page!B14</f>
        <v>0</v>
      </c>
    </row>
    <row r="8" spans="1:7">
      <c r="A8" s="4" t="s">
        <v>16</v>
      </c>
      <c r="B8" s="6">
        <f>G8</f>
        <v>0</v>
      </c>
      <c r="C8" s="8"/>
      <c r="D8" s="9"/>
      <c r="G8" s="10">
        <f>digestion_page!B15</f>
        <v>0</v>
      </c>
    </row>
    <row r="10" spans="1:7">
      <c r="A10" s="11" t="s">
        <v>23</v>
      </c>
      <c r="B10" s="11"/>
      <c r="C10" s="7"/>
    </row>
    <row r="11" spans="1:7">
      <c r="A11" s="11" t="s">
        <v>24</v>
      </c>
      <c r="B11" s="11"/>
      <c r="C11" s="12">
        <f>AVERAGE(D7:D8)*(10000)*(1/1)</f>
        <v>0</v>
      </c>
    </row>
    <row r="12" spans="1:7">
      <c r="A12" s="11" t="s">
        <v>24</v>
      </c>
      <c r="B12" s="11"/>
      <c r="C12" s="13">
        <f>AVERAGE(D7:D8)*(1/1)</f>
        <v>0</v>
      </c>
    </row>
    <row r="14" spans="1:7">
      <c r="B14" s="11" t="s">
        <v>25</v>
      </c>
      <c r="C14" s="14"/>
      <c r="D14" s="14"/>
      <c r="E14" s="14"/>
      <c r="F14" s="14"/>
    </row>
    <row r="15" spans="1:7">
      <c r="C15" s="14"/>
      <c r="D15" s="14"/>
      <c r="E15" s="14"/>
      <c r="F15" s="14"/>
    </row>
    <row r="16" spans="1:7">
      <c r="C16" s="14"/>
      <c r="D16" s="14"/>
      <c r="E16" s="14"/>
      <c r="F16" s="14"/>
    </row>
  </sheetData>
  <mergeCells count="5">
    <mergeCell ref="A5:B5"/>
    <mergeCell ref="A10:B10"/>
    <mergeCell ref="A11:B11"/>
    <mergeCell ref="A12:B12"/>
    <mergeCell ref="C14:F16"/>
  </mergeCells>
  <conditionalFormatting sqref="C10">
    <cfRule type="containsBlanks" dxfId="0" priority="1">
      <formula>LEN(TRIM(C10))=0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6"/>
  <sheetViews>
    <sheetView workbookViewId="0"/>
  </sheetViews>
  <sheetFormatPr defaultRowHeight="15"/>
  <cols>
    <col min="1" max="1" width="19" bestFit="1" customWidth="1"/>
    <col min="2" max="2" width="10.7109375" bestFit="1" customWidth="1"/>
    <col min="3" max="3" width="18.7109375" bestFit="1" customWidth="1"/>
    <col min="4" max="4" width="5.42578125" bestFit="1" customWidth="1"/>
  </cols>
  <sheetData>
    <row r="1" spans="1:7">
      <c r="A1" s="1" t="s">
        <v>0</v>
      </c>
      <c r="B1" s="2">
        <v>46147</v>
      </c>
    </row>
    <row r="2" spans="1:7">
      <c r="A2" s="1" t="s">
        <v>1</v>
      </c>
      <c r="B2" t="s">
        <v>2</v>
      </c>
    </row>
    <row r="5" spans="1:7">
      <c r="A5" s="7" t="s">
        <v>19</v>
      </c>
      <c r="B5" s="7"/>
    </row>
    <row r="6" spans="1:7">
      <c r="A6" s="4" t="s">
        <v>20</v>
      </c>
      <c r="B6" s="4" t="s">
        <v>9</v>
      </c>
      <c r="C6" s="4" t="s">
        <v>21</v>
      </c>
      <c r="D6" s="4" t="s">
        <v>22</v>
      </c>
    </row>
    <row r="7" spans="1:7">
      <c r="A7" s="4" t="s">
        <v>17</v>
      </c>
      <c r="B7" s="6">
        <f>G7</f>
        <v>0</v>
      </c>
      <c r="C7" s="8"/>
      <c r="D7" s="9"/>
      <c r="G7" s="10">
        <f>digestion_page!B16</f>
        <v>0</v>
      </c>
    </row>
    <row r="8" spans="1:7">
      <c r="A8" s="4" t="s">
        <v>18</v>
      </c>
      <c r="B8" s="6">
        <f>G8</f>
        <v>0</v>
      </c>
      <c r="C8" s="8"/>
      <c r="D8" s="9"/>
      <c r="G8" s="10">
        <f>digestion_page!B17</f>
        <v>0</v>
      </c>
    </row>
    <row r="10" spans="1:7">
      <c r="A10" s="11" t="s">
        <v>23</v>
      </c>
      <c r="B10" s="11"/>
      <c r="C10" s="7"/>
    </row>
    <row r="11" spans="1:7">
      <c r="A11" s="11" t="s">
        <v>24</v>
      </c>
      <c r="B11" s="11"/>
      <c r="C11" s="12">
        <f>AVERAGE(D7:D8)*(10000)*(1/1)</f>
        <v>0</v>
      </c>
    </row>
    <row r="12" spans="1:7">
      <c r="A12" s="11" t="s">
        <v>24</v>
      </c>
      <c r="B12" s="11"/>
      <c r="C12" s="13">
        <f>AVERAGE(D7:D8)*(1/1)</f>
        <v>0</v>
      </c>
    </row>
    <row r="14" spans="1:7">
      <c r="B14" s="11" t="s">
        <v>25</v>
      </c>
      <c r="C14" s="14"/>
      <c r="D14" s="14"/>
      <c r="E14" s="14"/>
      <c r="F14" s="14"/>
    </row>
    <row r="15" spans="1:7">
      <c r="C15" s="14"/>
      <c r="D15" s="14"/>
      <c r="E15" s="14"/>
      <c r="F15" s="14"/>
    </row>
    <row r="16" spans="1:7">
      <c r="C16" s="14"/>
      <c r="D16" s="14"/>
      <c r="E16" s="14"/>
      <c r="F16" s="14"/>
    </row>
  </sheetData>
  <mergeCells count="5">
    <mergeCell ref="A5:B5"/>
    <mergeCell ref="A10:B10"/>
    <mergeCell ref="A11:B11"/>
    <mergeCell ref="A12:B12"/>
    <mergeCell ref="C14:F16"/>
  </mergeCells>
  <conditionalFormatting sqref="C10">
    <cfRule type="containsBlanks" dxfId="0" priority="1">
      <formula>LEN(TRIM(C10))=0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5" t="s">
        <v>26</v>
      </c>
    </row>
    <row r="2" spans="1:1">
      <c r="A2" s="15" t="s">
        <v>27</v>
      </c>
    </row>
    <row r="3" spans="1:1">
      <c r="A3" s="15" t="s">
        <v>28</v>
      </c>
    </row>
    <row r="5" spans="1:1">
      <c r="A5" s="15" t="s">
        <v>29</v>
      </c>
    </row>
    <row r="7" spans="1:1">
      <c r="A7" s="15" t="s">
        <v>30</v>
      </c>
    </row>
    <row r="9" spans="1:1">
      <c r="A9" s="15" t="s">
        <v>31</v>
      </c>
    </row>
    <row r="11" spans="1:1">
      <c r="A11" s="15" t="s">
        <v>32</v>
      </c>
    </row>
    <row r="13" spans="1:1">
      <c r="A13" s="15" t="s">
        <v>33</v>
      </c>
    </row>
    <row r="15" spans="1:1">
      <c r="A15" s="15" t="s">
        <v>34</v>
      </c>
    </row>
    <row r="17" spans="1:1">
      <c r="A17" s="15" t="s">
        <v>35</v>
      </c>
    </row>
    <row r="19" spans="1:1">
      <c r="A19" s="15" t="s">
        <v>36</v>
      </c>
    </row>
    <row r="21" spans="1:1">
      <c r="A21" s="15" t="s">
        <v>37</v>
      </c>
    </row>
    <row r="23" spans="1:1">
      <c r="A23" s="15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digestion_page</vt:lpstr>
      <vt:lpstr>200126511</vt:lpstr>
      <vt:lpstr>200126512</vt:lpstr>
      <vt:lpstr>200126513</vt:lpstr>
      <vt:lpstr>200126514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2026-05-06T02:51:27Z</dcterms:created>
  <dcterms:modified xsi:type="dcterms:W3CDTF">2026-05-06T02:51:27Z</dcterms:modified>
</cp:coreProperties>
</file>