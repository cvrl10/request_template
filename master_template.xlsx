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7586" sheetId="2" r:id="rId2"/>
    <sheet name="200127587" sheetId="3" r:id="rId3"/>
    <sheet name="200127588" sheetId="4" r:id="rId4"/>
    <sheet name="formula_page" sheetId="5" r:id="rId5"/>
  </sheets>
  <calcPr calcId="124519" fullCalcOnLoad="1"/>
</workbook>
</file>

<file path=xl/sharedStrings.xml><?xml version="1.0" encoding="utf-8"?>
<sst xmlns="http://schemas.openxmlformats.org/spreadsheetml/2006/main" count="217" uniqueCount="96">
  <si>
    <t>Date:</t>
  </si>
  <si>
    <t>Request ID:</t>
  </si>
  <si>
    <t>Microwave</t>
  </si>
  <si>
    <t>Element(s)</t>
  </si>
  <si>
    <t>Ca, Cu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</si>
  <si>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</si>
  <si>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</si>
  <si>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</si>
  <si>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</si>
  <si>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</si>
  <si>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</si>
  <si>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</si>
  <si>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</si>
  <si>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</si>
  <si>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</si>
  <si>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</si>
  <si>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</si>
  <si>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</si>
  <si>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200127586_1</t>
  </si>
  <si>
    <t>200127586_2</t>
  </si>
  <si>
    <t>200127587_1</t>
  </si>
  <si>
    <t>200127587_2</t>
  </si>
  <si>
    <t>Katanax</t>
  </si>
  <si>
    <t>Ti, Si</t>
  </si>
  <si>
    <t>200127588_1</t>
  </si>
  <si>
    <t>200127588_2</t>
  </si>
  <si>
    <t>Hotplate</t>
  </si>
  <si>
    <t>Ag, Pd</t>
  </si>
  <si>
    <t>Cocktail</t>
  </si>
  <si>
    <t>LOI temp:</t>
  </si>
  <si>
    <t>sample</t>
  </si>
  <si>
    <t>crucible (g)</t>
  </si>
  <si>
    <t>crucible + sample (g)</t>
  </si>
  <si>
    <t>LOI (%)</t>
  </si>
  <si>
    <t>correction</t>
  </si>
  <si>
    <t>200127586</t>
  </si>
  <si>
    <t>Ca ICP analysis</t>
  </si>
  <si>
    <t>Dilution</t>
  </si>
  <si>
    <t>conc. [mg/L]</t>
  </si>
  <si>
    <t>Ca_ppm [dried]</t>
  </si>
  <si>
    <t>%Ca [dried]</t>
  </si>
  <si>
    <t>ca result:</t>
  </si>
  <si>
    <t>ca oxide factor:</t>
  </si>
  <si>
    <t>ca oxide result:</t>
  </si>
  <si>
    <t>ca lot:</t>
  </si>
  <si>
    <t>Cu ICP analysis</t>
  </si>
  <si>
    <t>Cu_ppm [dried]</t>
  </si>
  <si>
    <t>%Cu [dried]</t>
  </si>
  <si>
    <t>cu result:</t>
  </si>
  <si>
    <t>cu oxide factor:</t>
  </si>
  <si>
    <t>cu oxide result:</t>
  </si>
  <si>
    <t>cu lot:</t>
  </si>
  <si>
    <t>Ag ICP analysis</t>
  </si>
  <si>
    <t>Ag_ppm [dried]</t>
  </si>
  <si>
    <t>%Ag [dried]</t>
  </si>
  <si>
    <t>ag result:</t>
  </si>
  <si>
    <t>ag oxide factor:</t>
  </si>
  <si>
    <t>ag oxide result:</t>
  </si>
  <si>
    <t>ag lot:</t>
  </si>
  <si>
    <t>Pd ICP analysis</t>
  </si>
  <si>
    <t>Pd_ppm [dried]</t>
  </si>
  <si>
    <t>%Pd [dried]</t>
  </si>
  <si>
    <t>pd result:</t>
  </si>
  <si>
    <t>pd oxide factor:</t>
  </si>
  <si>
    <t>pd oxide result:</t>
  </si>
  <si>
    <t>pd lot:</t>
  </si>
  <si>
    <t>Note(s):</t>
  </si>
  <si>
    <t>200127587</t>
  </si>
  <si>
    <t>Ti ICP analysis</t>
  </si>
  <si>
    <t>Ti_ppm [dried]</t>
  </si>
  <si>
    <t>%Ti [dried]</t>
  </si>
  <si>
    <t>ti result:</t>
  </si>
  <si>
    <t>ti oxide factor:</t>
  </si>
  <si>
    <t>ti oxide result:</t>
  </si>
  <si>
    <t>ti lot:</t>
  </si>
  <si>
    <t>Si ICP analysis</t>
  </si>
  <si>
    <t>Si_ppm [dried]</t>
  </si>
  <si>
    <t>%Si [dried]</t>
  </si>
  <si>
    <t>si result:</t>
  </si>
  <si>
    <t>si oxide factor:</t>
  </si>
  <si>
    <t>si oxide result:</t>
  </si>
  <si>
    <t>si lot:</t>
  </si>
  <si>
    <t>200127588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</si>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</sst>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######&quot; °C&quot;"/>
    <numFmt numFmtId="167" formatCode="0.00"/>
    <numFmt numFmtId="168" formatCode="0.000"/>
    <numFmt numFmtId="169" formatCode="0.00&quot; ppm&quot;"/>
    <numFmt numFmtId="170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167" fontId="0" fillId="0" borderId="1" xfId="0" applyNumberFormat="1" applyBorder="1"/>
    <xf numFmtId="0" fontId="0" fillId="0" borderId="0" xfId="0" applyAlignment="1">
      <alignment horizontal="left"/>
    </xf>
    <xf numFmtId="168" fontId="0" fillId="0" borderId="1" xfId="0" applyNumberFormat="1" applyBorder="1"/>
    <xf numFmtId="0" fontId="2" fillId="0" borderId="0" xfId="0" applyFon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0"/>
  <sheetViews>
    <sheetView tabSelected="1" workbookViewId="0"/>
  </sheetViews>
  <sheetFormatPr defaultRowHeight="15"/>
  <cols>
    <col min="1" max="1" width="12.7109375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46140</v>
      </c>
    </row>
    <row r="2" spans="1:5">
      <c r="A2" s="1" t="s">
        <v>1</v>
      </c>
      <c r="B2">
        <v>100482511</v>
      </c>
    </row>
    <row r="5" spans="1:5">
      <c r="A5" s="3" t="s">
        <v>2</v>
      </c>
      <c r="B5" s="3"/>
      <c r="C5" s="3"/>
      <c r="D5" s="3"/>
      <c r="E5" s="3"/>
    </row>
    <row r="6" spans="1:5">
      <c r="A6" s="4" t="s">
        <v>3</v>
      </c>
      <c r="B6" s="5" t="s">
        <v>4</v>
      </c>
      <c r="C6" s="5"/>
      <c r="D6" s="5"/>
      <c r="E6" s="5"/>
    </row>
    <row r="7" spans="1:5">
      <c r="A7" s="4" t="s">
        <v>5</v>
      </c>
      <c r="B7" s="5"/>
      <c r="C7" s="5"/>
      <c r="D7" s="5"/>
      <c r="E7" s="5"/>
    </row>
    <row r="8" spans="1:5">
      <c r="A8" s="4" t="s">
        <v>6</v>
      </c>
      <c r="B8" s="5"/>
      <c r="C8" s="5"/>
      <c r="D8" s="5"/>
      <c r="E8" s="5"/>
    </row>
    <row r="9" spans="1:5">
      <c r="A9" s="4" t="s">
        <v>7</v>
      </c>
      <c r="B9" s="6"/>
      <c r="C9" s="6"/>
      <c r="D9" s="6"/>
      <c r="E9" s="6"/>
    </row>
    <row r="10" spans="1:5">
      <c r="A10" s="4" t="s">
        <v>8</v>
      </c>
      <c r="B10" s="5"/>
      <c r="C10" s="5"/>
      <c r="D10" s="5"/>
      <c r="E10" s="5"/>
    </row>
    <row r="11" spans="1:5">
      <c r="A11" s="4" t="s">
        <v>9</v>
      </c>
      <c r="B11" s="6"/>
      <c r="C11" s="6"/>
      <c r="D11" s="6"/>
      <c r="E11" s="6"/>
    </row>
    <row r="12" spans="1:5">
      <c r="A12" s="4" t="s">
        <v>10</v>
      </c>
      <c r="B12" s="4" t="s">
        <v>11</v>
      </c>
      <c r="C12" s="4" t="s">
        <v>12</v>
      </c>
      <c r="D12" s="4" t="s">
        <v>13</v>
      </c>
      <c r="E12" s="4" t="s">
        <v>14</v>
      </c>
    </row>
    <row r="13" spans="1:5">
      <c r="A13" s="5">
        <v>15</v>
      </c>
      <c r="B13" s="5">
        <v>1200</v>
      </c>
      <c r="C13" s="5">
        <v>180</v>
      </c>
      <c r="D13" s="5">
        <v>65</v>
      </c>
      <c r="E13" s="5">
        <v>110</v>
      </c>
    </row>
    <row r="14" spans="1:5">
      <c r="A14" s="5">
        <v>15</v>
      </c>
      <c r="B14" s="5">
        <v>1500</v>
      </c>
      <c r="C14" s="5">
        <v>240</v>
      </c>
      <c r="D14" s="5">
        <v>65</v>
      </c>
      <c r="E14" s="5">
        <v>110</v>
      </c>
    </row>
    <row r="15" spans="1:5">
      <c r="A15" s="5"/>
      <c r="B15" s="5"/>
      <c r="C15" s="5"/>
      <c r="D15" s="5"/>
      <c r="E15" s="5"/>
    </row>
    <row r="16" spans="1:5">
      <c r="A16" s="4" t="s">
        <v>15</v>
      </c>
      <c r="B16" s="4" t="s">
        <v>16</v>
      </c>
      <c r="C16" s="4" t="s">
        <v>17</v>
      </c>
    </row>
    <row r="17" spans="1:3">
      <c r="A17" s="4" t="s">
        <v>18</v>
      </c>
      <c r="B17" s="7"/>
      <c r="C17" s="5"/>
    </row>
    <row r="18" spans="1:3">
      <c r="A18" s="4" t="s">
        <v>19</v>
      </c>
      <c r="B18" s="7"/>
      <c r="C18" s="5"/>
    </row>
    <row r="19" spans="1:3">
      <c r="A19" s="4" t="s">
        <v>20</v>
      </c>
      <c r="B19" s="7"/>
      <c r="C19" s="5"/>
    </row>
    <row r="20" spans="1:3">
      <c r="A20" s="4" t="s">
        <v>21</v>
      </c>
      <c r="B20" s="7"/>
      <c r="C20" s="5"/>
    </row>
    <row r="23" spans="1:3">
      <c r="A23" s="3" t="s">
        <v>22</v>
      </c>
      <c r="B23" s="3"/>
      <c r="C23" s="3"/>
    </row>
    <row r="24" spans="1:3">
      <c r="A24" s="4" t="s">
        <v>3</v>
      </c>
      <c r="B24" s="5" t="s">
        <v>23</v>
      </c>
      <c r="C24" s="5"/>
    </row>
    <row r="25" spans="1:3">
      <c r="A25" s="4" t="s">
        <v>5</v>
      </c>
      <c r="B25" s="5"/>
      <c r="C25" s="5"/>
    </row>
    <row r="26" spans="1:3">
      <c r="A26" s="4" t="s">
        <v>6</v>
      </c>
      <c r="B26" s="5"/>
      <c r="C26" s="5"/>
    </row>
    <row r="27" spans="1:3">
      <c r="A27" s="4" t="s">
        <v>15</v>
      </c>
      <c r="B27" s="4" t="s">
        <v>16</v>
      </c>
      <c r="C27" s="4" t="s">
        <v>17</v>
      </c>
    </row>
    <row r="28" spans="1:3">
      <c r="A28" s="4" t="s">
        <v>20</v>
      </c>
      <c r="B28" s="7"/>
      <c r="C28" s="5">
        <v>250</v>
      </c>
    </row>
    <row r="29" spans="1:3">
      <c r="A29" s="4" t="s">
        <v>21</v>
      </c>
      <c r="B29" s="7"/>
      <c r="C29" s="5">
        <v>250</v>
      </c>
    </row>
    <row r="30" spans="1:3">
      <c r="A30" s="4" t="s">
        <v>24</v>
      </c>
      <c r="B30" s="7"/>
      <c r="C30" s="5">
        <v>250</v>
      </c>
    </row>
    <row r="31" spans="1:3">
      <c r="A31" s="4" t="s">
        <v>25</v>
      </c>
      <c r="B31" s="7"/>
      <c r="C31" s="5">
        <v>250</v>
      </c>
    </row>
    <row r="34" spans="1:3">
      <c r="A34" s="3" t="s">
        <v>26</v>
      </c>
      <c r="B34" s="3"/>
      <c r="C34" s="3"/>
    </row>
    <row r="35" spans="1:3">
      <c r="A35" s="4" t="s">
        <v>3</v>
      </c>
      <c r="B35" s="5" t="s">
        <v>27</v>
      </c>
      <c r="C35" s="5"/>
    </row>
    <row r="36" spans="1:3">
      <c r="A36" s="4" t="s">
        <v>5</v>
      </c>
      <c r="B36" s="5"/>
      <c r="C36" s="5"/>
    </row>
    <row r="37" spans="1:3">
      <c r="A37" s="4" t="s">
        <v>28</v>
      </c>
      <c r="B37" s="5"/>
      <c r="C37" s="5"/>
    </row>
    <row r="38" spans="1:3">
      <c r="A38" s="4" t="s">
        <v>15</v>
      </c>
      <c r="B38" s="4" t="s">
        <v>16</v>
      </c>
      <c r="C38" s="4" t="s">
        <v>17</v>
      </c>
    </row>
    <row r="39" spans="1:3">
      <c r="A39" s="4" t="s">
        <v>18</v>
      </c>
      <c r="B39" s="7"/>
      <c r="C39" s="5"/>
    </row>
    <row r="40" spans="1:3">
      <c r="A40" s="4" t="s">
        <v>19</v>
      </c>
      <c r="B40" s="7"/>
      <c r="C40" s="5"/>
    </row>
  </sheetData>
  <mergeCells count="15">
    <mergeCell ref="A5:E5"/>
    <mergeCell ref="B6:E6"/>
    <mergeCell ref="B7:E7"/>
    <mergeCell ref="B8:E8"/>
    <mergeCell ref="B9:E9"/>
    <mergeCell ref="B10:E10"/>
    <mergeCell ref="B11:E11"/>
    <mergeCell ref="A23:C23"/>
    <mergeCell ref="B24:C24"/>
    <mergeCell ref="B25:C25"/>
    <mergeCell ref="B26:C26"/>
    <mergeCell ref="A34:C34"/>
    <mergeCell ref="B35:C35"/>
    <mergeCell ref="B36:C36"/>
    <mergeCell ref="B37:C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5"/>
  <sheetViews>
    <sheetView workbookViewId="0"/>
  </sheetViews>
  <sheetFormatPr defaultRowHeight="15"/>
  <cols>
    <col min="1" max="1" width="14.8554687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</cols>
  <sheetData>
    <row r="1" spans="1:9">
      <c r="A1" s="1" t="s">
        <v>0</v>
      </c>
      <c r="B1" s="2">
        <v>46140</v>
      </c>
    </row>
    <row r="2" spans="1:9">
      <c r="A2" s="1" t="s">
        <v>1</v>
      </c>
      <c r="B2">
        <v>100482511</v>
      </c>
    </row>
    <row r="5" spans="1:9">
      <c r="A5" s="8" t="s">
        <v>29</v>
      </c>
      <c r="B5" s="9"/>
    </row>
    <row r="6" spans="1:9">
      <c r="A6" s="4" t="s">
        <v>30</v>
      </c>
      <c r="B6" s="4" t="s">
        <v>31</v>
      </c>
      <c r="C6" s="4" t="s">
        <v>32</v>
      </c>
      <c r="D6" s="4">
        <f>"after "&amp;B5&amp;" °C"</f>
        <v>0</v>
      </c>
      <c r="E6" s="4" t="s">
        <v>33</v>
      </c>
      <c r="F6" s="4" t="s">
        <v>34</v>
      </c>
    </row>
    <row r="7" spans="1:9">
      <c r="A7" s="4" t="s">
        <v>35</v>
      </c>
      <c r="B7" s="5"/>
      <c r="C7" s="5"/>
      <c r="D7" s="5"/>
      <c r="E7" s="10">
        <f>(((C7-B7)-(D7-B7))/(C7-B7))*100</f>
        <v>0</v>
      </c>
      <c r="F7" s="7">
        <f>1-(E7/100)</f>
        <v>0</v>
      </c>
    </row>
    <row r="9" spans="1:9">
      <c r="A9" s="11" t="s">
        <v>36</v>
      </c>
      <c r="B9" s="11"/>
    </row>
    <row r="10" spans="1:9">
      <c r="A10" s="4" t="s">
        <v>30</v>
      </c>
      <c r="B10" s="4" t="s">
        <v>37</v>
      </c>
      <c r="C10" s="4" t="s">
        <v>38</v>
      </c>
      <c r="D10" s="4" t="s">
        <v>39</v>
      </c>
      <c r="E10" s="4" t="s">
        <v>40</v>
      </c>
    </row>
    <row r="11" spans="1:9">
      <c r="A11" s="4" t="s">
        <v>18</v>
      </c>
      <c r="B11" s="5">
        <f>"1/1"</f>
        <v>0</v>
      </c>
      <c r="C11" s="12"/>
      <c r="D11" s="10">
        <f>((C11)*(H11)*(I11))/(G11*$F$7)</f>
        <v>0</v>
      </c>
      <c r="E11" s="10">
        <f>D11/10000</f>
        <v>0</v>
      </c>
      <c r="G11" s="13">
        <f>digestion_page!B17</f>
        <v>0</v>
      </c>
      <c r="H11" s="13">
        <f>digestion_page!C17</f>
        <v>0</v>
      </c>
      <c r="I11" s="13">
        <f>(LEFT(B11,FIND("/",B11)-1)/RIGHT(B11,LEN(B11)-FIND("/", B11)))</f>
        <v>0</v>
      </c>
    </row>
    <row r="12" spans="1:9">
      <c r="A12" s="4" t="s">
        <v>19</v>
      </c>
      <c r="B12" s="5">
        <f>"1/1"</f>
        <v>0</v>
      </c>
      <c r="C12" s="12"/>
      <c r="D12" s="10">
        <f>((C12)*(H12)*(I12))/(G12*$F$7)</f>
        <v>0</v>
      </c>
      <c r="E12" s="10">
        <f>D12/10000</f>
        <v>0</v>
      </c>
      <c r="G12" s="13">
        <f>digestion_page!B18</f>
        <v>0</v>
      </c>
      <c r="H12" s="13">
        <f>digestion_page!C18</f>
        <v>0</v>
      </c>
      <c r="I12" s="13">
        <f>(LEFT(B12,FIND("/",B12)-1)/RIGHT(B12,LEN(B12)-FIND("/", B12)))</f>
        <v>0</v>
      </c>
    </row>
    <row r="14" spans="1:9">
      <c r="A14" s="8" t="s">
        <v>41</v>
      </c>
      <c r="B14" s="8"/>
      <c r="C14" s="14">
        <f>AVERAGE(D11:D12)</f>
        <v>0</v>
      </c>
    </row>
    <row r="15" spans="1:9">
      <c r="A15" s="8" t="s">
        <v>41</v>
      </c>
      <c r="B15" s="8"/>
      <c r="C15" s="15">
        <f>AVERAGE(E11:E12)</f>
        <v>0</v>
      </c>
    </row>
    <row r="16" spans="1:9">
      <c r="A16" s="8" t="s">
        <v>42</v>
      </c>
      <c r="B16" s="8"/>
      <c r="C16" s="11"/>
    </row>
    <row r="17" spans="1:9">
      <c r="A17" s="8" t="s">
        <v>43</v>
      </c>
      <c r="B17" s="8"/>
      <c r="C17" s="15">
        <f>AVERAGE(E11:E12)*(C16)</f>
        <v>0</v>
      </c>
    </row>
    <row r="18" spans="1:9">
      <c r="A18" s="8" t="s">
        <v>44</v>
      </c>
      <c r="B18" s="8"/>
      <c r="C18" s="16"/>
      <c r="D18" s="16"/>
      <c r="E18" s="16"/>
      <c r="F18" s="16"/>
    </row>
    <row r="20" spans="1:9">
      <c r="A20" s="11" t="s">
        <v>45</v>
      </c>
      <c r="B20" s="11"/>
    </row>
    <row r="21" spans="1:9">
      <c r="A21" s="4" t="s">
        <v>30</v>
      </c>
      <c r="B21" s="4" t="s">
        <v>37</v>
      </c>
      <c r="C21" s="4" t="s">
        <v>38</v>
      </c>
      <c r="D21" s="4" t="s">
        <v>46</v>
      </c>
      <c r="E21" s="4" t="s">
        <v>47</v>
      </c>
    </row>
    <row r="22" spans="1:9">
      <c r="A22" s="4" t="s">
        <v>18</v>
      </c>
      <c r="B22" s="5">
        <f>"1/1"</f>
        <v>0</v>
      </c>
      <c r="C22" s="12"/>
      <c r="D22" s="10">
        <f>((C22)*(H22)*(I22))/(G22*$F$7)</f>
        <v>0</v>
      </c>
      <c r="E22" s="10">
        <f>D22/10000</f>
        <v>0</v>
      </c>
      <c r="G22" s="13">
        <f>digestion_page!B17</f>
        <v>0</v>
      </c>
      <c r="H22" s="13">
        <f>digestion_page!C17</f>
        <v>0</v>
      </c>
      <c r="I22" s="13">
        <f>(LEFT(B22,FIND("/",B22)-1)/RIGHT(B22,LEN(B22)-FIND("/", B22)))</f>
        <v>0</v>
      </c>
    </row>
    <row r="23" spans="1:9">
      <c r="A23" s="4" t="s">
        <v>19</v>
      </c>
      <c r="B23" s="5">
        <f>"1/1"</f>
        <v>0</v>
      </c>
      <c r="C23" s="12"/>
      <c r="D23" s="10">
        <f>((C23)*(H23)*(I23))/(G23*$F$7)</f>
        <v>0</v>
      </c>
      <c r="E23" s="10">
        <f>D23/10000</f>
        <v>0</v>
      </c>
      <c r="G23" s="13">
        <f>digestion_page!B18</f>
        <v>0</v>
      </c>
      <c r="H23" s="13">
        <f>digestion_page!C18</f>
        <v>0</v>
      </c>
      <c r="I23" s="13">
        <f>(LEFT(B23,FIND("/",B23)-1)/RIGHT(B23,LEN(B23)-FIND("/", B23)))</f>
        <v>0</v>
      </c>
    </row>
    <row r="25" spans="1:9">
      <c r="A25" s="8" t="s">
        <v>48</v>
      </c>
      <c r="B25" s="8"/>
      <c r="C25" s="14">
        <f>AVERAGE(D22:D23)</f>
        <v>0</v>
      </c>
    </row>
    <row r="26" spans="1:9">
      <c r="A26" s="8" t="s">
        <v>48</v>
      </c>
      <c r="B26" s="8"/>
      <c r="C26" s="15">
        <f>AVERAGE(E22:E23)</f>
        <v>0</v>
      </c>
    </row>
    <row r="27" spans="1:9">
      <c r="A27" s="8" t="s">
        <v>49</v>
      </c>
      <c r="B27" s="8"/>
      <c r="C27" s="11"/>
    </row>
    <row r="28" spans="1:9">
      <c r="A28" s="8" t="s">
        <v>50</v>
      </c>
      <c r="B28" s="8"/>
      <c r="C28" s="15">
        <f>AVERAGE(E22:E23)*(C27)</f>
        <v>0</v>
      </c>
    </row>
    <row r="29" spans="1:9">
      <c r="A29" s="8" t="s">
        <v>51</v>
      </c>
      <c r="B29" s="8"/>
      <c r="C29" s="16"/>
      <c r="D29" s="16"/>
      <c r="E29" s="16"/>
      <c r="F29" s="16"/>
    </row>
    <row r="31" spans="1:9">
      <c r="A31" s="11" t="s">
        <v>52</v>
      </c>
      <c r="B31" s="11"/>
    </row>
    <row r="32" spans="1:9">
      <c r="A32" s="4" t="s">
        <v>30</v>
      </c>
      <c r="B32" s="4" t="s">
        <v>37</v>
      </c>
      <c r="C32" s="4" t="s">
        <v>38</v>
      </c>
      <c r="D32" s="4" t="s">
        <v>53</v>
      </c>
      <c r="E32" s="4" t="s">
        <v>54</v>
      </c>
    </row>
    <row r="33" spans="1:9">
      <c r="A33" s="4" t="s">
        <v>18</v>
      </c>
      <c r="B33" s="5">
        <f>"1/1"</f>
        <v>0</v>
      </c>
      <c r="C33" s="12"/>
      <c r="D33" s="10">
        <f>((C33)*(H33)*(I33))/(G33*$F$7)</f>
        <v>0</v>
      </c>
      <c r="E33" s="10">
        <f>D33/10000</f>
        <v>0</v>
      </c>
      <c r="G33" s="13">
        <f>digestion_page!B39</f>
        <v>0</v>
      </c>
      <c r="H33" s="13">
        <f>digestion_page!C39</f>
        <v>0</v>
      </c>
      <c r="I33" s="13">
        <f>(LEFT(B33,FIND("/",B33)-1)/RIGHT(B33,LEN(B33)-FIND("/", B33)))</f>
        <v>0</v>
      </c>
    </row>
    <row r="34" spans="1:9">
      <c r="A34" s="4" t="s">
        <v>19</v>
      </c>
      <c r="B34" s="5">
        <f>"1/1"</f>
        <v>0</v>
      </c>
      <c r="C34" s="12"/>
      <c r="D34" s="10">
        <f>((C34)*(H34)*(I34))/(G34*$F$7)</f>
        <v>0</v>
      </c>
      <c r="E34" s="10">
        <f>D34/10000</f>
        <v>0</v>
      </c>
      <c r="G34" s="13">
        <f>digestion_page!B40</f>
        <v>0</v>
      </c>
      <c r="H34" s="13">
        <f>digestion_page!C40</f>
        <v>0</v>
      </c>
      <c r="I34" s="13">
        <f>(LEFT(B34,FIND("/",B34)-1)/RIGHT(B34,LEN(B34)-FIND("/", B34)))</f>
        <v>0</v>
      </c>
    </row>
    <row r="36" spans="1:9">
      <c r="A36" s="8" t="s">
        <v>55</v>
      </c>
      <c r="B36" s="8"/>
      <c r="C36" s="14">
        <f>AVERAGE(D33:D34)</f>
        <v>0</v>
      </c>
    </row>
    <row r="37" spans="1:9">
      <c r="A37" s="8" t="s">
        <v>55</v>
      </c>
      <c r="B37" s="8"/>
      <c r="C37" s="15">
        <f>AVERAGE(E33:E34)</f>
        <v>0</v>
      </c>
    </row>
    <row r="38" spans="1:9">
      <c r="A38" s="8" t="s">
        <v>56</v>
      </c>
      <c r="B38" s="8"/>
      <c r="C38" s="11"/>
    </row>
    <row r="39" spans="1:9">
      <c r="A39" s="8" t="s">
        <v>57</v>
      </c>
      <c r="B39" s="8"/>
      <c r="C39" s="15">
        <f>AVERAGE(E33:E34)*(C38)</f>
        <v>0</v>
      </c>
    </row>
    <row r="40" spans="1:9">
      <c r="A40" s="8" t="s">
        <v>58</v>
      </c>
      <c r="B40" s="8"/>
      <c r="C40" s="16"/>
      <c r="D40" s="16"/>
      <c r="E40" s="16"/>
      <c r="F40" s="16"/>
    </row>
    <row r="42" spans="1:9">
      <c r="A42" s="11" t="s">
        <v>59</v>
      </c>
      <c r="B42" s="11"/>
    </row>
    <row r="43" spans="1:9">
      <c r="A43" s="4" t="s">
        <v>30</v>
      </c>
      <c r="B43" s="4" t="s">
        <v>37</v>
      </c>
      <c r="C43" s="4" t="s">
        <v>38</v>
      </c>
      <c r="D43" s="4" t="s">
        <v>60</v>
      </c>
      <c r="E43" s="4" t="s">
        <v>61</v>
      </c>
    </row>
    <row r="44" spans="1:9">
      <c r="A44" s="4" t="s">
        <v>18</v>
      </c>
      <c r="B44" s="5">
        <f>"1/1"</f>
        <v>0</v>
      </c>
      <c r="C44" s="12"/>
      <c r="D44" s="10">
        <f>((C44)*(H44)*(I44))/(G44*$F$7)</f>
        <v>0</v>
      </c>
      <c r="E44" s="10">
        <f>D44/10000</f>
        <v>0</v>
      </c>
      <c r="G44" s="13">
        <f>digestion_page!B39</f>
        <v>0</v>
      </c>
      <c r="H44" s="13">
        <f>digestion_page!C39</f>
        <v>0</v>
      </c>
      <c r="I44" s="13">
        <f>(LEFT(B44,FIND("/",B44)-1)/RIGHT(B44,LEN(B44)-FIND("/", B44)))</f>
        <v>0</v>
      </c>
    </row>
    <row r="45" spans="1:9">
      <c r="A45" s="4" t="s">
        <v>19</v>
      </c>
      <c r="B45" s="5">
        <f>"1/1"</f>
        <v>0</v>
      </c>
      <c r="C45" s="12"/>
      <c r="D45" s="10">
        <f>((C45)*(H45)*(I45))/(G45*$F$7)</f>
        <v>0</v>
      </c>
      <c r="E45" s="10">
        <f>D45/10000</f>
        <v>0</v>
      </c>
      <c r="G45" s="13">
        <f>digestion_page!B40</f>
        <v>0</v>
      </c>
      <c r="H45" s="13">
        <f>digestion_page!C40</f>
        <v>0</v>
      </c>
      <c r="I45" s="13">
        <f>(LEFT(B45,FIND("/",B45)-1)/RIGHT(B45,LEN(B45)-FIND("/", B45)))</f>
        <v>0</v>
      </c>
    </row>
    <row r="47" spans="1:9">
      <c r="A47" s="8" t="s">
        <v>62</v>
      </c>
      <c r="B47" s="8"/>
      <c r="C47" s="14">
        <f>AVERAGE(D44:D45)</f>
        <v>0</v>
      </c>
    </row>
    <row r="48" spans="1:9">
      <c r="A48" s="8" t="s">
        <v>62</v>
      </c>
      <c r="B48" s="8"/>
      <c r="C48" s="15">
        <f>AVERAGE(E44:E45)</f>
        <v>0</v>
      </c>
    </row>
    <row r="49" spans="1:6">
      <c r="A49" s="8" t="s">
        <v>63</v>
      </c>
      <c r="B49" s="8"/>
      <c r="C49" s="11"/>
    </row>
    <row r="50" spans="1:6">
      <c r="A50" s="8" t="s">
        <v>64</v>
      </c>
      <c r="B50" s="8"/>
      <c r="C50" s="15">
        <f>AVERAGE(E44:E45)*(C49)</f>
        <v>0</v>
      </c>
    </row>
    <row r="51" spans="1:6">
      <c r="A51" s="8" t="s">
        <v>65</v>
      </c>
      <c r="B51" s="8"/>
      <c r="C51" s="16"/>
      <c r="D51" s="16"/>
      <c r="E51" s="16"/>
      <c r="F51" s="16"/>
    </row>
    <row r="53" spans="1:6">
      <c r="B53" s="8" t="s">
        <v>66</v>
      </c>
      <c r="C53" s="17"/>
      <c r="D53" s="17"/>
      <c r="E53" s="17"/>
      <c r="F53" s="17"/>
    </row>
    <row r="54" spans="1:6">
      <c r="C54" s="17"/>
      <c r="D54" s="17"/>
      <c r="E54" s="17"/>
      <c r="F54" s="17"/>
    </row>
    <row r="55" spans="1:6">
      <c r="C55" s="17"/>
      <c r="D55" s="17"/>
      <c r="E55" s="17"/>
      <c r="F55" s="17"/>
    </row>
  </sheetData>
  <mergeCells count="29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A31:B31"/>
    <mergeCell ref="A36:B36"/>
    <mergeCell ref="A37:B37"/>
    <mergeCell ref="A38:B38"/>
    <mergeCell ref="A39:B39"/>
    <mergeCell ref="A40:B40"/>
    <mergeCell ref="C40:F40"/>
    <mergeCell ref="A42:B42"/>
    <mergeCell ref="A47:B47"/>
    <mergeCell ref="A48:B48"/>
    <mergeCell ref="A49:B49"/>
    <mergeCell ref="A50:B50"/>
    <mergeCell ref="A51:B51"/>
    <mergeCell ref="C51:F51"/>
    <mergeCell ref="C53:F55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conditionalFormatting sqref="C40:F40">
    <cfRule type="containsBlanks" dxfId="0" priority="4">
      <formula>LEN(TRIM(C40))=0</formula>
    </cfRule>
  </conditionalFormatting>
  <conditionalFormatting sqref="C51:F51">
    <cfRule type="containsBlanks" dxfId="0" priority="5">
      <formula>LEN(TRIM(C51))=0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55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</cols>
  <sheetData>
    <row r="1" spans="1:9">
      <c r="A1" s="1" t="s">
        <v>0</v>
      </c>
      <c r="B1" s="2">
        <v>46140</v>
      </c>
    </row>
    <row r="2" spans="1:9">
      <c r="A2" s="1" t="s">
        <v>1</v>
      </c>
      <c r="B2">
        <v>100482511</v>
      </c>
    </row>
    <row r="5" spans="1:9">
      <c r="A5" s="8" t="s">
        <v>29</v>
      </c>
      <c r="B5" s="9"/>
    </row>
    <row r="6" spans="1:9">
      <c r="A6" s="4" t="s">
        <v>30</v>
      </c>
      <c r="B6" s="4" t="s">
        <v>31</v>
      </c>
      <c r="C6" s="4" t="s">
        <v>32</v>
      </c>
      <c r="D6" s="4">
        <f>"after "&amp;B5&amp;" °C"</f>
        <v>0</v>
      </c>
      <c r="E6" s="4" t="s">
        <v>33</v>
      </c>
      <c r="F6" s="4" t="s">
        <v>34</v>
      </c>
    </row>
    <row r="7" spans="1:9">
      <c r="A7" s="4" t="s">
        <v>67</v>
      </c>
      <c r="B7" s="5"/>
      <c r="C7" s="5"/>
      <c r="D7" s="5"/>
      <c r="E7" s="10">
        <f>(((C7-B7)-(D7-B7))/(C7-B7))*100</f>
        <v>0</v>
      </c>
      <c r="F7" s="7">
        <f>1-(E7/100)</f>
        <v>0</v>
      </c>
    </row>
    <row r="9" spans="1:9">
      <c r="A9" s="11" t="s">
        <v>36</v>
      </c>
      <c r="B9" s="11"/>
    </row>
    <row r="10" spans="1:9">
      <c r="A10" s="4" t="s">
        <v>30</v>
      </c>
      <c r="B10" s="4" t="s">
        <v>37</v>
      </c>
      <c r="C10" s="4" t="s">
        <v>38</v>
      </c>
      <c r="D10" s="4" t="s">
        <v>39</v>
      </c>
      <c r="E10" s="4" t="s">
        <v>40</v>
      </c>
    </row>
    <row r="11" spans="1:9">
      <c r="A11" s="4" t="s">
        <v>20</v>
      </c>
      <c r="B11" s="5">
        <f>"1/1"</f>
        <v>0</v>
      </c>
      <c r="C11" s="12"/>
      <c r="D11" s="10">
        <f>((C11)*(H11)*(I11))/(G11*$F$7)</f>
        <v>0</v>
      </c>
      <c r="E11" s="10">
        <f>D11/10000</f>
        <v>0</v>
      </c>
      <c r="G11" s="13">
        <f>digestion_page!B19</f>
        <v>0</v>
      </c>
      <c r="H11" s="13">
        <f>digestion_page!C19</f>
        <v>0</v>
      </c>
      <c r="I11" s="13">
        <f>(LEFT(B11,FIND("/",B11)-1)/RIGHT(B11,LEN(B11)-FIND("/", B11)))</f>
        <v>0</v>
      </c>
    </row>
    <row r="12" spans="1:9">
      <c r="A12" s="4" t="s">
        <v>21</v>
      </c>
      <c r="B12" s="5">
        <f>"1/1"</f>
        <v>0</v>
      </c>
      <c r="C12" s="12"/>
      <c r="D12" s="10">
        <f>((C12)*(H12)*(I12))/(G12*$F$7)</f>
        <v>0</v>
      </c>
      <c r="E12" s="10">
        <f>D12/10000</f>
        <v>0</v>
      </c>
      <c r="G12" s="13">
        <f>digestion_page!B20</f>
        <v>0</v>
      </c>
      <c r="H12" s="13">
        <f>digestion_page!C20</f>
        <v>0</v>
      </c>
      <c r="I12" s="13">
        <f>(LEFT(B12,FIND("/",B12)-1)/RIGHT(B12,LEN(B12)-FIND("/", B12)))</f>
        <v>0</v>
      </c>
    </row>
    <row r="14" spans="1:9">
      <c r="A14" s="8" t="s">
        <v>41</v>
      </c>
      <c r="B14" s="8"/>
      <c r="C14" s="14">
        <f>AVERAGE(D11:D12)</f>
        <v>0</v>
      </c>
    </row>
    <row r="15" spans="1:9">
      <c r="A15" s="8" t="s">
        <v>41</v>
      </c>
      <c r="B15" s="8"/>
      <c r="C15" s="15">
        <f>AVERAGE(E11:E12)</f>
        <v>0</v>
      </c>
    </row>
    <row r="16" spans="1:9">
      <c r="A16" s="8" t="s">
        <v>42</v>
      </c>
      <c r="B16" s="8"/>
      <c r="C16" s="11"/>
    </row>
    <row r="17" spans="1:9">
      <c r="A17" s="8" t="s">
        <v>43</v>
      </c>
      <c r="B17" s="8"/>
      <c r="C17" s="15">
        <f>AVERAGE(E11:E12)*(C16)</f>
        <v>0</v>
      </c>
    </row>
    <row r="18" spans="1:9">
      <c r="A18" s="8" t="s">
        <v>44</v>
      </c>
      <c r="B18" s="8"/>
      <c r="C18" s="16"/>
      <c r="D18" s="16"/>
      <c r="E18" s="16"/>
      <c r="F18" s="16"/>
    </row>
    <row r="20" spans="1:9">
      <c r="A20" s="11" t="s">
        <v>45</v>
      </c>
      <c r="B20" s="11"/>
    </row>
    <row r="21" spans="1:9">
      <c r="A21" s="4" t="s">
        <v>30</v>
      </c>
      <c r="B21" s="4" t="s">
        <v>37</v>
      </c>
      <c r="C21" s="4" t="s">
        <v>38</v>
      </c>
      <c r="D21" s="4" t="s">
        <v>46</v>
      </c>
      <c r="E21" s="4" t="s">
        <v>47</v>
      </c>
    </row>
    <row r="22" spans="1:9">
      <c r="A22" s="4" t="s">
        <v>20</v>
      </c>
      <c r="B22" s="5">
        <f>"1/1"</f>
        <v>0</v>
      </c>
      <c r="C22" s="12"/>
      <c r="D22" s="10">
        <f>((C22)*(H22)*(I22))/(G22*$F$7)</f>
        <v>0</v>
      </c>
      <c r="E22" s="10">
        <f>D22/10000</f>
        <v>0</v>
      </c>
      <c r="G22" s="13">
        <f>digestion_page!B19</f>
        <v>0</v>
      </c>
      <c r="H22" s="13">
        <f>digestion_page!C19</f>
        <v>0</v>
      </c>
      <c r="I22" s="13">
        <f>(LEFT(B22,FIND("/",B22)-1)/RIGHT(B22,LEN(B22)-FIND("/", B22)))</f>
        <v>0</v>
      </c>
    </row>
    <row r="23" spans="1:9">
      <c r="A23" s="4" t="s">
        <v>21</v>
      </c>
      <c r="B23" s="5">
        <f>"1/1"</f>
        <v>0</v>
      </c>
      <c r="C23" s="12"/>
      <c r="D23" s="10">
        <f>((C23)*(H23)*(I23))/(G23*$F$7)</f>
        <v>0</v>
      </c>
      <c r="E23" s="10">
        <f>D23/10000</f>
        <v>0</v>
      </c>
      <c r="G23" s="13">
        <f>digestion_page!B20</f>
        <v>0</v>
      </c>
      <c r="H23" s="13">
        <f>digestion_page!C20</f>
        <v>0</v>
      </c>
      <c r="I23" s="13">
        <f>(LEFT(B23,FIND("/",B23)-1)/RIGHT(B23,LEN(B23)-FIND("/", B23)))</f>
        <v>0</v>
      </c>
    </row>
    <row r="25" spans="1:9">
      <c r="A25" s="8" t="s">
        <v>48</v>
      </c>
      <c r="B25" s="8"/>
      <c r="C25" s="14">
        <f>AVERAGE(D22:D23)</f>
        <v>0</v>
      </c>
    </row>
    <row r="26" spans="1:9">
      <c r="A26" s="8" t="s">
        <v>48</v>
      </c>
      <c r="B26" s="8"/>
      <c r="C26" s="15">
        <f>AVERAGE(E22:E23)</f>
        <v>0</v>
      </c>
    </row>
    <row r="27" spans="1:9">
      <c r="A27" s="8" t="s">
        <v>49</v>
      </c>
      <c r="B27" s="8"/>
      <c r="C27" s="11"/>
    </row>
    <row r="28" spans="1:9">
      <c r="A28" s="8" t="s">
        <v>50</v>
      </c>
      <c r="B28" s="8"/>
      <c r="C28" s="15">
        <f>AVERAGE(E22:E23)*(C27)</f>
        <v>0</v>
      </c>
    </row>
    <row r="29" spans="1:9">
      <c r="A29" s="8" t="s">
        <v>51</v>
      </c>
      <c r="B29" s="8"/>
      <c r="C29" s="16"/>
      <c r="D29" s="16"/>
      <c r="E29" s="16"/>
      <c r="F29" s="16"/>
    </row>
    <row r="31" spans="1:9">
      <c r="A31" s="11" t="s">
        <v>68</v>
      </c>
      <c r="B31" s="11"/>
    </row>
    <row r="32" spans="1:9">
      <c r="A32" s="4" t="s">
        <v>30</v>
      </c>
      <c r="B32" s="4" t="s">
        <v>37</v>
      </c>
      <c r="C32" s="4" t="s">
        <v>38</v>
      </c>
      <c r="D32" s="4" t="s">
        <v>69</v>
      </c>
      <c r="E32" s="4" t="s">
        <v>70</v>
      </c>
    </row>
    <row r="33" spans="1:9">
      <c r="A33" s="4" t="s">
        <v>20</v>
      </c>
      <c r="B33" s="5">
        <f>"1/1"</f>
        <v>0</v>
      </c>
      <c r="C33" s="12"/>
      <c r="D33" s="10">
        <f>((C33)*(H33)*(I33))/(G33*$F$7)</f>
        <v>0</v>
      </c>
      <c r="E33" s="10">
        <f>D33/10000</f>
        <v>0</v>
      </c>
      <c r="G33" s="13">
        <f>digestion_page!B28</f>
        <v>0</v>
      </c>
      <c r="H33" s="13">
        <f>digestion_page!C28</f>
        <v>0</v>
      </c>
      <c r="I33" s="13">
        <f>(LEFT(B33,FIND("/",B33)-1)/RIGHT(B33,LEN(B33)-FIND("/", B33)))</f>
        <v>0</v>
      </c>
    </row>
    <row r="34" spans="1:9">
      <c r="A34" s="4" t="s">
        <v>21</v>
      </c>
      <c r="B34" s="5">
        <f>"1/1"</f>
        <v>0</v>
      </c>
      <c r="C34" s="12"/>
      <c r="D34" s="10">
        <f>((C34)*(H34)*(I34))/(G34*$F$7)</f>
        <v>0</v>
      </c>
      <c r="E34" s="10">
        <f>D34/10000</f>
        <v>0</v>
      </c>
      <c r="G34" s="13">
        <f>digestion_page!B29</f>
        <v>0</v>
      </c>
      <c r="H34" s="13">
        <f>digestion_page!C29</f>
        <v>0</v>
      </c>
      <c r="I34" s="13">
        <f>(LEFT(B34,FIND("/",B34)-1)/RIGHT(B34,LEN(B34)-FIND("/", B34)))</f>
        <v>0</v>
      </c>
    </row>
    <row r="36" spans="1:9">
      <c r="A36" s="8" t="s">
        <v>71</v>
      </c>
      <c r="B36" s="8"/>
      <c r="C36" s="14">
        <f>AVERAGE(D33:D34)</f>
        <v>0</v>
      </c>
    </row>
    <row r="37" spans="1:9">
      <c r="A37" s="8" t="s">
        <v>71</v>
      </c>
      <c r="B37" s="8"/>
      <c r="C37" s="15">
        <f>AVERAGE(E33:E34)</f>
        <v>0</v>
      </c>
    </row>
    <row r="38" spans="1:9">
      <c r="A38" s="8" t="s">
        <v>72</v>
      </c>
      <c r="B38" s="8"/>
      <c r="C38" s="11"/>
    </row>
    <row r="39" spans="1:9">
      <c r="A39" s="8" t="s">
        <v>73</v>
      </c>
      <c r="B39" s="8"/>
      <c r="C39" s="15">
        <f>AVERAGE(E33:E34)*(C38)</f>
        <v>0</v>
      </c>
    </row>
    <row r="40" spans="1:9">
      <c r="A40" s="8" t="s">
        <v>74</v>
      </c>
      <c r="B40" s="8"/>
      <c r="C40" s="16"/>
      <c r="D40" s="16"/>
      <c r="E40" s="16"/>
      <c r="F40" s="16"/>
    </row>
    <row r="42" spans="1:9">
      <c r="A42" s="11" t="s">
        <v>75</v>
      </c>
      <c r="B42" s="11"/>
    </row>
    <row r="43" spans="1:9">
      <c r="A43" s="4" t="s">
        <v>30</v>
      </c>
      <c r="B43" s="4" t="s">
        <v>37</v>
      </c>
      <c r="C43" s="4" t="s">
        <v>38</v>
      </c>
      <c r="D43" s="4" t="s">
        <v>76</v>
      </c>
      <c r="E43" s="4" t="s">
        <v>77</v>
      </c>
    </row>
    <row r="44" spans="1:9">
      <c r="A44" s="4" t="s">
        <v>20</v>
      </c>
      <c r="B44" s="5">
        <f>"1/1"</f>
        <v>0</v>
      </c>
      <c r="C44" s="12"/>
      <c r="D44" s="10">
        <f>((C44)*(H44)*(I44))/(G44*$F$7)</f>
        <v>0</v>
      </c>
      <c r="E44" s="10">
        <f>D44/10000</f>
        <v>0</v>
      </c>
      <c r="G44" s="13">
        <f>digestion_page!B28</f>
        <v>0</v>
      </c>
      <c r="H44" s="13">
        <f>digestion_page!C28</f>
        <v>0</v>
      </c>
      <c r="I44" s="13">
        <f>(LEFT(B44,FIND("/",B44)-1)/RIGHT(B44,LEN(B44)-FIND("/", B44)))</f>
        <v>0</v>
      </c>
    </row>
    <row r="45" spans="1:9">
      <c r="A45" s="4" t="s">
        <v>21</v>
      </c>
      <c r="B45" s="5">
        <f>"1/1"</f>
        <v>0</v>
      </c>
      <c r="C45" s="12"/>
      <c r="D45" s="10">
        <f>((C45)*(H45)*(I45))/(G45*$F$7)</f>
        <v>0</v>
      </c>
      <c r="E45" s="10">
        <f>D45/10000</f>
        <v>0</v>
      </c>
      <c r="G45" s="13">
        <f>digestion_page!B29</f>
        <v>0</v>
      </c>
      <c r="H45" s="13">
        <f>digestion_page!C29</f>
        <v>0</v>
      </c>
      <c r="I45" s="13">
        <f>(LEFT(B45,FIND("/",B45)-1)/RIGHT(B45,LEN(B45)-FIND("/", B45)))</f>
        <v>0</v>
      </c>
    </row>
    <row r="47" spans="1:9">
      <c r="A47" s="8" t="s">
        <v>78</v>
      </c>
      <c r="B47" s="8"/>
      <c r="C47" s="14">
        <f>AVERAGE(D44:D45)</f>
        <v>0</v>
      </c>
    </row>
    <row r="48" spans="1:9">
      <c r="A48" s="8" t="s">
        <v>78</v>
      </c>
      <c r="B48" s="8"/>
      <c r="C48" s="15">
        <f>AVERAGE(E44:E45)</f>
        <v>0</v>
      </c>
    </row>
    <row r="49" spans="1:6">
      <c r="A49" s="8" t="s">
        <v>79</v>
      </c>
      <c r="B49" s="8"/>
      <c r="C49" s="11"/>
    </row>
    <row r="50" spans="1:6">
      <c r="A50" s="8" t="s">
        <v>80</v>
      </c>
      <c r="B50" s="8"/>
      <c r="C50" s="15">
        <f>AVERAGE(E44:E45)*(C49)</f>
        <v>0</v>
      </c>
    </row>
    <row r="51" spans="1:6">
      <c r="A51" s="8" t="s">
        <v>81</v>
      </c>
      <c r="B51" s="8"/>
      <c r="C51" s="16"/>
      <c r="D51" s="16"/>
      <c r="E51" s="16"/>
      <c r="F51" s="16"/>
    </row>
    <row r="53" spans="1:6">
      <c r="B53" s="8" t="s">
        <v>66</v>
      </c>
      <c r="C53" s="17"/>
      <c r="D53" s="17"/>
      <c r="E53" s="17"/>
      <c r="F53" s="17"/>
    </row>
    <row r="54" spans="1:6">
      <c r="C54" s="17"/>
      <c r="D54" s="17"/>
      <c r="E54" s="17"/>
      <c r="F54" s="17"/>
    </row>
    <row r="55" spans="1:6">
      <c r="C55" s="17"/>
      <c r="D55" s="17"/>
      <c r="E55" s="17"/>
      <c r="F55" s="17"/>
    </row>
  </sheetData>
  <mergeCells count="29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A31:B31"/>
    <mergeCell ref="A36:B36"/>
    <mergeCell ref="A37:B37"/>
    <mergeCell ref="A38:B38"/>
    <mergeCell ref="A39:B39"/>
    <mergeCell ref="A40:B40"/>
    <mergeCell ref="C40:F40"/>
    <mergeCell ref="A42:B42"/>
    <mergeCell ref="A47:B47"/>
    <mergeCell ref="A48:B48"/>
    <mergeCell ref="A49:B49"/>
    <mergeCell ref="A50:B50"/>
    <mergeCell ref="A51:B51"/>
    <mergeCell ref="C51:F51"/>
    <mergeCell ref="C53:F55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conditionalFormatting sqref="C40:F40">
    <cfRule type="containsBlanks" dxfId="0" priority="4">
      <formula>LEN(TRIM(C40))=0</formula>
    </cfRule>
  </conditionalFormatting>
  <conditionalFormatting sqref="C51:F51">
    <cfRule type="containsBlanks" dxfId="0" priority="5">
      <formula>LEN(TRIM(C51))=0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3"/>
  <sheetViews>
    <sheetView workbookViewId="0"/>
  </sheetViews>
  <sheetFormatPr defaultRowHeight="15"/>
  <cols>
    <col min="1" max="1" width="14" bestFit="1" customWidth="1"/>
    <col min="2" max="2" width="10.85546875" bestFit="1" customWidth="1"/>
    <col min="3" max="3" width="19.140625" bestFit="1" customWidth="1"/>
    <col min="4" max="4" width="14.140625" bestFit="1" customWidth="1"/>
    <col min="5" max="5" width="10.7109375" bestFit="1" customWidth="1"/>
    <col min="6" max="6" width="10" bestFit="1" customWidth="1"/>
  </cols>
  <sheetData>
    <row r="1" spans="1:9">
      <c r="A1" s="1" t="s">
        <v>0</v>
      </c>
      <c r="B1" s="2">
        <v>46140</v>
      </c>
    </row>
    <row r="2" spans="1:9">
      <c r="A2" s="1" t="s">
        <v>1</v>
      </c>
      <c r="B2">
        <v>100482511</v>
      </c>
    </row>
    <row r="5" spans="1:9">
      <c r="A5" s="8" t="s">
        <v>29</v>
      </c>
      <c r="B5" s="9"/>
    </row>
    <row r="6" spans="1:9">
      <c r="A6" s="4" t="s">
        <v>30</v>
      </c>
      <c r="B6" s="4" t="s">
        <v>31</v>
      </c>
      <c r="C6" s="4" t="s">
        <v>32</v>
      </c>
      <c r="D6" s="4">
        <f>"after "&amp;B5&amp;" °C"</f>
        <v>0</v>
      </c>
      <c r="E6" s="4" t="s">
        <v>33</v>
      </c>
      <c r="F6" s="4" t="s">
        <v>34</v>
      </c>
    </row>
    <row r="7" spans="1:9">
      <c r="A7" s="4" t="s">
        <v>82</v>
      </c>
      <c r="B7" s="5"/>
      <c r="C7" s="5"/>
      <c r="D7" s="5"/>
      <c r="E7" s="10">
        <f>(((C7-B7)-(D7-B7))/(C7-B7))*100</f>
        <v>0</v>
      </c>
      <c r="F7" s="7">
        <f>1-(E7/100)</f>
        <v>0</v>
      </c>
    </row>
    <row r="9" spans="1:9">
      <c r="A9" s="11" t="s">
        <v>68</v>
      </c>
      <c r="B9" s="11"/>
    </row>
    <row r="10" spans="1:9">
      <c r="A10" s="4" t="s">
        <v>30</v>
      </c>
      <c r="B10" s="4" t="s">
        <v>37</v>
      </c>
      <c r="C10" s="4" t="s">
        <v>38</v>
      </c>
      <c r="D10" s="4" t="s">
        <v>69</v>
      </c>
      <c r="E10" s="4" t="s">
        <v>70</v>
      </c>
    </row>
    <row r="11" spans="1:9">
      <c r="A11" s="4" t="s">
        <v>24</v>
      </c>
      <c r="B11" s="5">
        <f>"1/1"</f>
        <v>0</v>
      </c>
      <c r="C11" s="12"/>
      <c r="D11" s="10">
        <f>((C11)*(H11)*(I11))/(G11*$F$7)</f>
        <v>0</v>
      </c>
      <c r="E11" s="10">
        <f>D11/10000</f>
        <v>0</v>
      </c>
      <c r="G11" s="13">
        <f>digestion_page!B30</f>
        <v>0</v>
      </c>
      <c r="H11" s="13">
        <f>digestion_page!C30</f>
        <v>0</v>
      </c>
      <c r="I11" s="13">
        <f>(LEFT(B11,FIND("/",B11)-1)/RIGHT(B11,LEN(B11)-FIND("/", B11)))</f>
        <v>0</v>
      </c>
    </row>
    <row r="12" spans="1:9">
      <c r="A12" s="4" t="s">
        <v>25</v>
      </c>
      <c r="B12" s="5">
        <f>"1/1"</f>
        <v>0</v>
      </c>
      <c r="C12" s="12"/>
      <c r="D12" s="10">
        <f>((C12)*(H12)*(I12))/(G12*$F$7)</f>
        <v>0</v>
      </c>
      <c r="E12" s="10">
        <f>D12/10000</f>
        <v>0</v>
      </c>
      <c r="G12" s="13">
        <f>digestion_page!B31</f>
        <v>0</v>
      </c>
      <c r="H12" s="13">
        <f>digestion_page!C31</f>
        <v>0</v>
      </c>
      <c r="I12" s="13">
        <f>(LEFT(B12,FIND("/",B12)-1)/RIGHT(B12,LEN(B12)-FIND("/", B12)))</f>
        <v>0</v>
      </c>
    </row>
    <row r="14" spans="1:9">
      <c r="A14" s="8" t="s">
        <v>71</v>
      </c>
      <c r="B14" s="8"/>
      <c r="C14" s="14">
        <f>AVERAGE(D11:D12)</f>
        <v>0</v>
      </c>
    </row>
    <row r="15" spans="1:9">
      <c r="A15" s="8" t="s">
        <v>71</v>
      </c>
      <c r="B15" s="8"/>
      <c r="C15" s="15">
        <f>AVERAGE(E11:E12)</f>
        <v>0</v>
      </c>
    </row>
    <row r="16" spans="1:9">
      <c r="A16" s="8" t="s">
        <v>72</v>
      </c>
      <c r="B16" s="8"/>
      <c r="C16" s="11"/>
    </row>
    <row r="17" spans="1:9">
      <c r="A17" s="8" t="s">
        <v>73</v>
      </c>
      <c r="B17" s="8"/>
      <c r="C17" s="15">
        <f>AVERAGE(E11:E12)*(C16)</f>
        <v>0</v>
      </c>
    </row>
    <row r="18" spans="1:9">
      <c r="A18" s="8" t="s">
        <v>74</v>
      </c>
      <c r="B18" s="8"/>
      <c r="C18" s="16"/>
      <c r="D18" s="16"/>
      <c r="E18" s="16"/>
      <c r="F18" s="16"/>
    </row>
    <row r="20" spans="1:9">
      <c r="A20" s="11" t="s">
        <v>75</v>
      </c>
      <c r="B20" s="11"/>
    </row>
    <row r="21" spans="1:9">
      <c r="A21" s="4" t="s">
        <v>30</v>
      </c>
      <c r="B21" s="4" t="s">
        <v>37</v>
      </c>
      <c r="C21" s="4" t="s">
        <v>38</v>
      </c>
      <c r="D21" s="4" t="s">
        <v>76</v>
      </c>
      <c r="E21" s="4" t="s">
        <v>77</v>
      </c>
    </row>
    <row r="22" spans="1:9">
      <c r="A22" s="4" t="s">
        <v>24</v>
      </c>
      <c r="B22" s="5">
        <f>"1/1"</f>
        <v>0</v>
      </c>
      <c r="C22" s="12"/>
      <c r="D22" s="10">
        <f>((C22)*(H22)*(I22))/(G22*$F$7)</f>
        <v>0</v>
      </c>
      <c r="E22" s="10">
        <f>D22/10000</f>
        <v>0</v>
      </c>
      <c r="G22" s="13">
        <f>digestion_page!B30</f>
        <v>0</v>
      </c>
      <c r="H22" s="13">
        <f>digestion_page!C30</f>
        <v>0</v>
      </c>
      <c r="I22" s="13">
        <f>(LEFT(B22,FIND("/",B22)-1)/RIGHT(B22,LEN(B22)-FIND("/", B22)))</f>
        <v>0</v>
      </c>
    </row>
    <row r="23" spans="1:9">
      <c r="A23" s="4" t="s">
        <v>25</v>
      </c>
      <c r="B23" s="5">
        <f>"1/1"</f>
        <v>0</v>
      </c>
      <c r="C23" s="12"/>
      <c r="D23" s="10">
        <f>((C23)*(H23)*(I23))/(G23*$F$7)</f>
        <v>0</v>
      </c>
      <c r="E23" s="10">
        <f>D23/10000</f>
        <v>0</v>
      </c>
      <c r="G23" s="13">
        <f>digestion_page!B31</f>
        <v>0</v>
      </c>
      <c r="H23" s="13">
        <f>digestion_page!C31</f>
        <v>0</v>
      </c>
      <c r="I23" s="13">
        <f>(LEFT(B23,FIND("/",B23)-1)/RIGHT(B23,LEN(B23)-FIND("/", B23)))</f>
        <v>0</v>
      </c>
    </row>
    <row r="25" spans="1:9">
      <c r="A25" s="8" t="s">
        <v>78</v>
      </c>
      <c r="B25" s="8"/>
      <c r="C25" s="14">
        <f>AVERAGE(D22:D23)</f>
        <v>0</v>
      </c>
    </row>
    <row r="26" spans="1:9">
      <c r="A26" s="8" t="s">
        <v>78</v>
      </c>
      <c r="B26" s="8"/>
      <c r="C26" s="15">
        <f>AVERAGE(E22:E23)</f>
        <v>0</v>
      </c>
    </row>
    <row r="27" spans="1:9">
      <c r="A27" s="8" t="s">
        <v>79</v>
      </c>
      <c r="B27" s="8"/>
      <c r="C27" s="11"/>
    </row>
    <row r="28" spans="1:9">
      <c r="A28" s="8" t="s">
        <v>80</v>
      </c>
      <c r="B28" s="8"/>
      <c r="C28" s="15">
        <f>AVERAGE(E22:E23)*(C27)</f>
        <v>0</v>
      </c>
    </row>
    <row r="29" spans="1:9">
      <c r="A29" s="8" t="s">
        <v>81</v>
      </c>
      <c r="B29" s="8"/>
      <c r="C29" s="16"/>
      <c r="D29" s="16"/>
      <c r="E29" s="16"/>
      <c r="F29" s="16"/>
    </row>
    <row r="31" spans="1:9">
      <c r="B31" s="8" t="s">
        <v>66</v>
      </c>
      <c r="C31" s="17"/>
      <c r="D31" s="17"/>
      <c r="E31" s="17"/>
      <c r="F31" s="17"/>
    </row>
    <row r="32" spans="1:9">
      <c r="C32" s="17"/>
      <c r="D32" s="17"/>
      <c r="E32" s="17"/>
      <c r="F32" s="17"/>
    </row>
    <row r="33" spans="3:6">
      <c r="C33" s="17"/>
      <c r="D33" s="17"/>
      <c r="E33" s="17"/>
      <c r="F33" s="17"/>
    </row>
  </sheetData>
  <mergeCells count="15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C31:F33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8" t="s">
        <v>83</v>
      </c>
    </row>
    <row r="2" spans="1:1">
      <c r="A2" s="18" t="s">
        <v>84</v>
      </c>
    </row>
    <row r="3" spans="1:1">
      <c r="A3" s="18" t="s">
        <v>85</v>
      </c>
    </row>
    <row r="5" spans="1:1">
      <c r="A5" s="18" t="s">
        <v>86</v>
      </c>
    </row>
    <row r="7" spans="1:1">
      <c r="A7" s="18" t="s">
        <v>87</v>
      </c>
    </row>
    <row r="9" spans="1:1">
      <c r="A9" s="18" t="s">
        <v>88</v>
      </c>
    </row>
    <row r="11" spans="1:1">
      <c r="A11" s="18" t="s">
        <v>89</v>
      </c>
    </row>
    <row r="13" spans="1:1">
      <c r="A13" s="18" t="s">
        <v>90</v>
      </c>
    </row>
    <row r="15" spans="1:1">
      <c r="A15" s="18" t="s">
        <v>91</v>
      </c>
    </row>
    <row r="17" spans="1:1">
      <c r="A17" s="18" t="s">
        <v>92</v>
      </c>
    </row>
    <row r="19" spans="1:1">
      <c r="A19" s="18" t="s">
        <v>93</v>
      </c>
    </row>
    <row r="21" spans="1:1">
      <c r="A21" s="18" t="s">
        <v>94</v>
      </c>
    </row>
    <row r="23" spans="1:1">
      <c r="A23" s="18" t="s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200127586</vt:lpstr>
      <vt:lpstr>200127587</vt:lpstr>
      <vt:lpstr>200127588</vt:lpstr>
      <vt:lpstr>formula_page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2026-04-29T00:44:00Z</dcterms:created>
  <dcterms:modified xsi:type="dcterms:W3CDTF">2026-04-29T00:44:00Z</dcterms:modified>
</cp:coreProperties>
</file>