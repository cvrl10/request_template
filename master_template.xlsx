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6511" sheetId="2" r:id="rId2"/>
    <sheet name="200126512" sheetId="3" r:id="rId3"/>
    <sheet name="200126513" sheetId="4" r:id="rId4"/>
    <sheet name="200126514" sheetId="5" r:id="rId5"/>
    <sheet name="200126515" sheetId="6" r:id="rId6"/>
    <sheet name="200126516" sheetId="7" r:id="rId7"/>
    <sheet name="200126517" sheetId="8" r:id="rId8"/>
    <sheet name="200126518" sheetId="9" r:id="rId9"/>
    <sheet name="200126519" sheetId="10" r:id="rId10"/>
    <sheet name="200126520" sheetId="11" r:id="rId11"/>
    <sheet name="200126521" sheetId="12" r:id="rId12"/>
    <sheet name="200126522" sheetId="13" r:id="rId13"/>
    <sheet name="200126523" sheetId="14" r:id="rId14"/>
    <sheet name="200126524" sheetId="15" r:id="rId15"/>
    <sheet name="formula_page" sheetId="16" r:id="rId16"/>
  </sheets>
  <calcPr calcId="124519" fullCalcOnLoad="1"/>
</workbook>
</file>

<file path=xl/sharedStrings.xml><?xml version="1.0" encoding="utf-8"?>
<sst xmlns="http://schemas.openxmlformats.org/spreadsheetml/2006/main" count="298" uniqueCount="71">
  <si>
    <t>Date:</t>
  </si>
  <si>
    <t>Request ID:</t>
  </si>
  <si>
    <t>test</t>
  </si>
  <si>
    <t>Microwave</t>
  </si>
  <si>
    <t>Element(s)</t>
  </si>
  <si>
    <t>Ca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</si>
  <si>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</si>
  <si>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</si>
  <si>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</si>
  <si>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</si>
  <si>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</si>
  <si>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</si>
  <si>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</si>
  <si>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</si>
  <si>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</si>
  <si>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</si>
  <si>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</si>
  <si>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</si>
  <si>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</si>
  <si>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200126511_1</t>
  </si>
  <si>
    <t>200126511_2</t>
  </si>
  <si>
    <t>200126512_1</t>
  </si>
  <si>
    <t>200126512_2</t>
  </si>
  <si>
    <t>200126513_1</t>
  </si>
  <si>
    <t>200126513_2</t>
  </si>
  <si>
    <t>200126514_1</t>
  </si>
  <si>
    <t>200126514_2</t>
  </si>
  <si>
    <t>200126515_1</t>
  </si>
  <si>
    <t>200126515_2</t>
  </si>
  <si>
    <t>200126516_1</t>
  </si>
  <si>
    <t>200126516_2</t>
  </si>
  <si>
    <t>200126517_1</t>
  </si>
  <si>
    <t>200126517_2</t>
  </si>
  <si>
    <t>200126518_1</t>
  </si>
  <si>
    <t>200126518_2</t>
  </si>
  <si>
    <t>200126519_1</t>
  </si>
  <si>
    <t>200126519_2</t>
  </si>
  <si>
    <t>200126520_1</t>
  </si>
  <si>
    <t>200126520_2</t>
  </si>
  <si>
    <t>200126521_1</t>
  </si>
  <si>
    <t>200126521_2</t>
  </si>
  <si>
    <t>200126522_1</t>
  </si>
  <si>
    <t>200126522_2</t>
  </si>
  <si>
    <t>200126523_1</t>
  </si>
  <si>
    <t>200126523_2</t>
  </si>
  <si>
    <t>200126524_1</t>
  </si>
  <si>
    <t>200126524_2</t>
  </si>
  <si>
    <t>Ca ICP analysis</t>
  </si>
  <si>
    <t>sample</t>
  </si>
  <si>
    <t>Dilution</t>
  </si>
  <si>
    <t>conc. [mg/L]</t>
  </si>
  <si>
    <t>Ca_ppm</t>
  </si>
  <si>
    <t>%Ca</t>
  </si>
  <si>
    <t>ca result:</t>
  </si>
  <si>
    <t>ca oxide factor:</t>
  </si>
  <si>
    <t>ca oxide result:</t>
  </si>
  <si>
    <t>ca lot: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</si>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</sst>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0" fillId="0" borderId="0" xfId="0" applyAlignment="1">
      <alignment horizontal="left"/>
    </xf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44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46155</v>
      </c>
    </row>
    <row r="2" spans="1:5">
      <c r="A2" s="1" t="s">
        <v>1</v>
      </c>
      <c r="B2" t="s">
        <v>2</v>
      </c>
    </row>
    <row r="5" spans="1:5">
      <c r="A5" s="3" t="s">
        <v>3</v>
      </c>
      <c r="B5" s="3"/>
      <c r="C5" s="3"/>
      <c r="D5" s="3"/>
      <c r="E5" s="3"/>
    </row>
    <row r="6" spans="1:5">
      <c r="A6" s="4" t="s">
        <v>4</v>
      </c>
      <c r="B6" s="5" t="s">
        <v>5</v>
      </c>
      <c r="C6" s="5"/>
      <c r="D6" s="5"/>
      <c r="E6" s="5"/>
    </row>
    <row r="7" spans="1:5">
      <c r="A7" s="4" t="s">
        <v>6</v>
      </c>
      <c r="B7" s="5"/>
      <c r="C7" s="5"/>
      <c r="D7" s="5"/>
      <c r="E7" s="5"/>
    </row>
    <row r="8" spans="1:5">
      <c r="A8" s="4" t="s">
        <v>7</v>
      </c>
      <c r="B8" s="5"/>
      <c r="C8" s="5"/>
      <c r="D8" s="5"/>
      <c r="E8" s="5"/>
    </row>
    <row r="9" spans="1:5">
      <c r="A9" s="4" t="s">
        <v>8</v>
      </c>
      <c r="B9" s="6"/>
      <c r="C9" s="6"/>
      <c r="D9" s="6"/>
      <c r="E9" s="6"/>
    </row>
    <row r="10" spans="1:5">
      <c r="A10" s="4" t="s">
        <v>9</v>
      </c>
      <c r="B10" s="5"/>
      <c r="C10" s="5"/>
      <c r="D10" s="5"/>
      <c r="E10" s="5"/>
    </row>
    <row r="11" spans="1:5">
      <c r="A11" s="4" t="s">
        <v>10</v>
      </c>
      <c r="B11" s="6"/>
      <c r="C11" s="6"/>
      <c r="D11" s="6"/>
      <c r="E11" s="6"/>
    </row>
    <row r="12" spans="1:5">
      <c r="A12" s="4" t="s">
        <v>11</v>
      </c>
      <c r="B12" s="4" t="s">
        <v>12</v>
      </c>
      <c r="C12" s="4" t="s">
        <v>13</v>
      </c>
      <c r="D12" s="4" t="s">
        <v>14</v>
      </c>
      <c r="E12" s="4" t="s">
        <v>15</v>
      </c>
    </row>
    <row r="13" spans="1:5">
      <c r="A13" s="5">
        <v>15</v>
      </c>
      <c r="B13" s="5">
        <v>1200</v>
      </c>
      <c r="C13" s="5">
        <v>180</v>
      </c>
      <c r="D13" s="5">
        <v>65</v>
      </c>
      <c r="E13" s="5">
        <v>110</v>
      </c>
    </row>
    <row r="14" spans="1:5">
      <c r="A14" s="5">
        <v>15</v>
      </c>
      <c r="B14" s="5">
        <v>1500</v>
      </c>
      <c r="C14" s="5">
        <v>240</v>
      </c>
      <c r="D14" s="5">
        <v>65</v>
      </c>
      <c r="E14" s="5">
        <v>110</v>
      </c>
    </row>
    <row r="15" spans="1:5">
      <c r="A15" s="5"/>
      <c r="B15" s="5"/>
      <c r="C15" s="5"/>
      <c r="D15" s="5"/>
      <c r="E15" s="5"/>
    </row>
    <row r="16" spans="1:5">
      <c r="A16" s="4" t="s">
        <v>16</v>
      </c>
      <c r="B16" s="4" t="s">
        <v>17</v>
      </c>
      <c r="C16" s="4" t="s">
        <v>18</v>
      </c>
    </row>
    <row r="17" spans="1:3">
      <c r="A17" s="4" t="s">
        <v>19</v>
      </c>
      <c r="B17" s="7"/>
      <c r="C17" s="5"/>
    </row>
    <row r="18" spans="1:3">
      <c r="A18" s="4" t="s">
        <v>20</v>
      </c>
      <c r="B18" s="7"/>
      <c r="C18" s="5"/>
    </row>
    <row r="19" spans="1:3">
      <c r="A19" s="4" t="s">
        <v>21</v>
      </c>
      <c r="B19" s="7"/>
      <c r="C19" s="5"/>
    </row>
    <row r="20" spans="1:3">
      <c r="A20" s="4" t="s">
        <v>22</v>
      </c>
      <c r="B20" s="7"/>
      <c r="C20" s="5"/>
    </row>
    <row r="21" spans="1:3">
      <c r="A21" s="4" t="s">
        <v>23</v>
      </c>
      <c r="B21" s="7"/>
      <c r="C21" s="5"/>
    </row>
    <row r="22" spans="1:3">
      <c r="A22" s="4" t="s">
        <v>24</v>
      </c>
      <c r="B22" s="7"/>
      <c r="C22" s="5"/>
    </row>
    <row r="23" spans="1:3">
      <c r="A23" s="4" t="s">
        <v>25</v>
      </c>
      <c r="B23" s="7"/>
      <c r="C23" s="5"/>
    </row>
    <row r="24" spans="1:3">
      <c r="A24" s="4" t="s">
        <v>26</v>
      </c>
      <c r="B24" s="7"/>
      <c r="C24" s="5"/>
    </row>
    <row r="25" spans="1:3">
      <c r="A25" s="4" t="s">
        <v>27</v>
      </c>
      <c r="B25" s="7"/>
      <c r="C25" s="5"/>
    </row>
    <row r="26" spans="1:3">
      <c r="A26" s="4" t="s">
        <v>28</v>
      </c>
      <c r="B26" s="7"/>
      <c r="C26" s="5"/>
    </row>
    <row r="27" spans="1:3">
      <c r="A27" s="4" t="s">
        <v>29</v>
      </c>
      <c r="B27" s="7"/>
      <c r="C27" s="5"/>
    </row>
    <row r="28" spans="1:3">
      <c r="A28" s="4" t="s">
        <v>30</v>
      </c>
      <c r="B28" s="7"/>
      <c r="C28" s="5"/>
    </row>
    <row r="29" spans="1:3">
      <c r="A29" s="4" t="s">
        <v>31</v>
      </c>
      <c r="B29" s="7"/>
      <c r="C29" s="5"/>
    </row>
    <row r="30" spans="1:3">
      <c r="A30" s="4" t="s">
        <v>32</v>
      </c>
      <c r="B30" s="7"/>
      <c r="C30" s="5"/>
    </row>
    <row r="31" spans="1:3">
      <c r="A31" s="4" t="s">
        <v>33</v>
      </c>
      <c r="B31" s="7"/>
      <c r="C31" s="5"/>
    </row>
    <row r="32" spans="1:3">
      <c r="A32" s="4" t="s">
        <v>34</v>
      </c>
      <c r="B32" s="7"/>
      <c r="C32" s="5"/>
    </row>
    <row r="33" spans="1:3">
      <c r="A33" s="4" t="s">
        <v>35</v>
      </c>
      <c r="B33" s="7"/>
      <c r="C33" s="5"/>
    </row>
    <row r="34" spans="1:3">
      <c r="A34" s="4" t="s">
        <v>36</v>
      </c>
      <c r="B34" s="7"/>
      <c r="C34" s="5"/>
    </row>
    <row r="35" spans="1:3">
      <c r="A35" s="4" t="s">
        <v>37</v>
      </c>
      <c r="B35" s="7"/>
      <c r="C35" s="5"/>
    </row>
    <row r="36" spans="1:3">
      <c r="A36" s="4" t="s">
        <v>38</v>
      </c>
      <c r="B36" s="7"/>
      <c r="C36" s="5"/>
    </row>
    <row r="37" spans="1:3">
      <c r="A37" s="4" t="s">
        <v>39</v>
      </c>
      <c r="B37" s="7"/>
      <c r="C37" s="5"/>
    </row>
    <row r="38" spans="1:3">
      <c r="A38" s="4" t="s">
        <v>40</v>
      </c>
      <c r="B38" s="7"/>
      <c r="C38" s="5"/>
    </row>
    <row r="39" spans="1:3">
      <c r="A39" s="4" t="s">
        <v>41</v>
      </c>
      <c r="B39" s="7"/>
      <c r="C39" s="5"/>
    </row>
    <row r="40" spans="1:3">
      <c r="A40" s="4" t="s">
        <v>42</v>
      </c>
      <c r="B40" s="7"/>
      <c r="C40" s="5"/>
    </row>
    <row r="41" spans="1:3">
      <c r="A41" s="4" t="s">
        <v>43</v>
      </c>
      <c r="B41" s="7"/>
      <c r="C41" s="5"/>
    </row>
    <row r="42" spans="1:3">
      <c r="A42" s="4" t="s">
        <v>44</v>
      </c>
      <c r="B42" s="7"/>
      <c r="C42" s="5"/>
    </row>
    <row r="43" spans="1:3">
      <c r="A43" s="4" t="s">
        <v>45</v>
      </c>
      <c r="B43" s="7"/>
      <c r="C43" s="5"/>
    </row>
    <row r="44" spans="1:3">
      <c r="A44" s="4" t="s">
        <v>46</v>
      </c>
      <c r="B44" s="7"/>
      <c r="C44" s="5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46155</v>
      </c>
    </row>
    <row r="2" spans="1:9">
      <c r="A2" s="1" t="s">
        <v>1</v>
      </c>
      <c r="B2" t="s">
        <v>2</v>
      </c>
    </row>
    <row r="5" spans="1:9">
      <c r="A5" s="8" t="s">
        <v>47</v>
      </c>
      <c r="B5" s="8"/>
    </row>
    <row r="6" spans="1:9">
      <c r="A6" s="4" t="s">
        <v>48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9">
      <c r="A7" s="4" t="s">
        <v>19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4" t="s">
        <v>20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53</v>
      </c>
      <c r="B10" s="12"/>
      <c r="C10" s="13">
        <f>AVERAGE(D7:D8)</f>
        <v>0</v>
      </c>
    </row>
    <row r="11" spans="1:9">
      <c r="A11" s="12" t="s">
        <v>53</v>
      </c>
      <c r="B11" s="12"/>
      <c r="C11" s="14">
        <f>AVERAGE(E7:E8)</f>
        <v>0</v>
      </c>
    </row>
    <row r="12" spans="1:9">
      <c r="A12" s="12" t="s">
        <v>54</v>
      </c>
      <c r="B12" s="12"/>
      <c r="C12" s="8"/>
    </row>
    <row r="13" spans="1:9">
      <c r="A13" s="12" t="s">
        <v>55</v>
      </c>
      <c r="B13" s="12"/>
      <c r="C13" s="14">
        <f>AVERAGE(E7:E8)*(C12)</f>
        <v>0</v>
      </c>
    </row>
    <row r="14" spans="1:9">
      <c r="A14" s="12" t="s">
        <v>56</v>
      </c>
      <c r="B14" s="12"/>
      <c r="C14" s="15"/>
      <c r="D14" s="15"/>
      <c r="E14" s="15"/>
      <c r="F14" s="15"/>
    </row>
    <row r="16" spans="1:9">
      <c r="B16" s="12" t="s">
        <v>57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46155</v>
      </c>
    </row>
    <row r="2" spans="1:9">
      <c r="A2" s="1" t="s">
        <v>1</v>
      </c>
      <c r="B2" t="s">
        <v>2</v>
      </c>
    </row>
    <row r="5" spans="1:9">
      <c r="A5" s="8" t="s">
        <v>47</v>
      </c>
      <c r="B5" s="8"/>
    </row>
    <row r="6" spans="1:9">
      <c r="A6" s="4" t="s">
        <v>48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9">
      <c r="A7" s="4" t="s">
        <v>21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digestion_page!B19</f>
        <v>0</v>
      </c>
      <c r="H7" s="11">
        <f>digestion_page!C19</f>
        <v>0</v>
      </c>
      <c r="I7" s="11">
        <f>(LEFT(B7,FIND("/",B7)-1)/RIGHT(B7,LEN(B7)-FIND("/", B7)))</f>
        <v>0</v>
      </c>
    </row>
    <row r="8" spans="1:9">
      <c r="A8" s="4" t="s">
        <v>22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digestion_page!B20</f>
        <v>0</v>
      </c>
      <c r="H8" s="11">
        <f>digestion_page!C20</f>
        <v>0</v>
      </c>
      <c r="I8" s="11">
        <f>(LEFT(B8,FIND("/",B8)-1)/RIGHT(B8,LEN(B8)-FIND("/", B8)))</f>
        <v>0</v>
      </c>
    </row>
    <row r="10" spans="1:9">
      <c r="A10" s="12" t="s">
        <v>53</v>
      </c>
      <c r="B10" s="12"/>
      <c r="C10" s="13">
        <f>AVERAGE(D7:D8)</f>
        <v>0</v>
      </c>
    </row>
    <row r="11" spans="1:9">
      <c r="A11" s="12" t="s">
        <v>53</v>
      </c>
      <c r="B11" s="12"/>
      <c r="C11" s="14">
        <f>AVERAGE(E7:E8)</f>
        <v>0</v>
      </c>
    </row>
    <row r="12" spans="1:9">
      <c r="A12" s="12" t="s">
        <v>54</v>
      </c>
      <c r="B12" s="12"/>
      <c r="C12" s="8"/>
    </row>
    <row r="13" spans="1:9">
      <c r="A13" s="12" t="s">
        <v>55</v>
      </c>
      <c r="B13" s="12"/>
      <c r="C13" s="14">
        <f>AVERAGE(E7:E8)*(C12)</f>
        <v>0</v>
      </c>
    </row>
    <row r="14" spans="1:9">
      <c r="A14" s="12" t="s">
        <v>56</v>
      </c>
      <c r="B14" s="12"/>
      <c r="C14" s="15"/>
      <c r="D14" s="15"/>
      <c r="E14" s="15"/>
      <c r="F14" s="15"/>
    </row>
    <row r="16" spans="1:9">
      <c r="B16" s="12" t="s">
        <v>57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46155</v>
      </c>
    </row>
    <row r="2" spans="1:9">
      <c r="A2" s="1" t="s">
        <v>1</v>
      </c>
      <c r="B2" t="s">
        <v>2</v>
      </c>
    </row>
    <row r="5" spans="1:9">
      <c r="A5" s="8" t="s">
        <v>47</v>
      </c>
      <c r="B5" s="8"/>
    </row>
    <row r="6" spans="1:9">
      <c r="A6" s="4" t="s">
        <v>48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9">
      <c r="A7" s="4" t="s">
        <v>23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digestion_page!B21</f>
        <v>0</v>
      </c>
      <c r="H7" s="11">
        <f>digestion_page!C21</f>
        <v>0</v>
      </c>
      <c r="I7" s="11">
        <f>(LEFT(B7,FIND("/",B7)-1)/RIGHT(B7,LEN(B7)-FIND("/", B7)))</f>
        <v>0</v>
      </c>
    </row>
    <row r="8" spans="1:9">
      <c r="A8" s="4" t="s">
        <v>24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digestion_page!B22</f>
        <v>0</v>
      </c>
      <c r="H8" s="11">
        <f>digestion_page!C22</f>
        <v>0</v>
      </c>
      <c r="I8" s="11">
        <f>(LEFT(B8,FIND("/",B8)-1)/RIGHT(B8,LEN(B8)-FIND("/", B8)))</f>
        <v>0</v>
      </c>
    </row>
    <row r="10" spans="1:9">
      <c r="A10" s="12" t="s">
        <v>53</v>
      </c>
      <c r="B10" s="12"/>
      <c r="C10" s="13">
        <f>AVERAGE(D7:D8)</f>
        <v>0</v>
      </c>
    </row>
    <row r="11" spans="1:9">
      <c r="A11" s="12" t="s">
        <v>53</v>
      </c>
      <c r="B11" s="12"/>
      <c r="C11" s="14">
        <f>AVERAGE(E7:E8)</f>
        <v>0</v>
      </c>
    </row>
    <row r="12" spans="1:9">
      <c r="A12" s="12" t="s">
        <v>54</v>
      </c>
      <c r="B12" s="12"/>
      <c r="C12" s="8"/>
    </row>
    <row r="13" spans="1:9">
      <c r="A13" s="12" t="s">
        <v>55</v>
      </c>
      <c r="B13" s="12"/>
      <c r="C13" s="14">
        <f>AVERAGE(E7:E8)*(C12)</f>
        <v>0</v>
      </c>
    </row>
    <row r="14" spans="1:9">
      <c r="A14" s="12" t="s">
        <v>56</v>
      </c>
      <c r="B14" s="12"/>
      <c r="C14" s="15"/>
      <c r="D14" s="15"/>
      <c r="E14" s="15"/>
      <c r="F14" s="15"/>
    </row>
    <row r="16" spans="1:9">
      <c r="B16" s="12" t="s">
        <v>57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46155</v>
      </c>
    </row>
    <row r="2" spans="1:9">
      <c r="A2" s="1" t="s">
        <v>1</v>
      </c>
      <c r="B2" t="s">
        <v>2</v>
      </c>
    </row>
    <row r="5" spans="1:9">
      <c r="A5" s="8" t="s">
        <v>47</v>
      </c>
      <c r="B5" s="8"/>
    </row>
    <row r="6" spans="1:9">
      <c r="A6" s="4" t="s">
        <v>48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9">
      <c r="A7" s="4" t="s">
        <v>25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digestion_page!B23</f>
        <v>0</v>
      </c>
      <c r="H7" s="11">
        <f>digestion_page!C23</f>
        <v>0</v>
      </c>
      <c r="I7" s="11">
        <f>(LEFT(B7,FIND("/",B7)-1)/RIGHT(B7,LEN(B7)-FIND("/", B7)))</f>
        <v>0</v>
      </c>
    </row>
    <row r="8" spans="1:9">
      <c r="A8" s="4" t="s">
        <v>26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digestion_page!B24</f>
        <v>0</v>
      </c>
      <c r="H8" s="11">
        <f>digestion_page!C24</f>
        <v>0</v>
      </c>
      <c r="I8" s="11">
        <f>(LEFT(B8,FIND("/",B8)-1)/RIGHT(B8,LEN(B8)-FIND("/", B8)))</f>
        <v>0</v>
      </c>
    </row>
    <row r="10" spans="1:9">
      <c r="A10" s="12" t="s">
        <v>53</v>
      </c>
      <c r="B10" s="12"/>
      <c r="C10" s="13">
        <f>AVERAGE(D7:D8)</f>
        <v>0</v>
      </c>
    </row>
    <row r="11" spans="1:9">
      <c r="A11" s="12" t="s">
        <v>53</v>
      </c>
      <c r="B11" s="12"/>
      <c r="C11" s="14">
        <f>AVERAGE(E7:E8)</f>
        <v>0</v>
      </c>
    </row>
    <row r="12" spans="1:9">
      <c r="A12" s="12" t="s">
        <v>54</v>
      </c>
      <c r="B12" s="12"/>
      <c r="C12" s="8"/>
    </row>
    <row r="13" spans="1:9">
      <c r="A13" s="12" t="s">
        <v>55</v>
      </c>
      <c r="B13" s="12"/>
      <c r="C13" s="14">
        <f>AVERAGE(E7:E8)*(C12)</f>
        <v>0</v>
      </c>
    </row>
    <row r="14" spans="1:9">
      <c r="A14" s="12" t="s">
        <v>56</v>
      </c>
      <c r="B14" s="12"/>
      <c r="C14" s="15"/>
      <c r="D14" s="15"/>
      <c r="E14" s="15"/>
      <c r="F14" s="15"/>
    </row>
    <row r="16" spans="1:9">
      <c r="B16" s="12" t="s">
        <v>57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46155</v>
      </c>
    </row>
    <row r="2" spans="1:9">
      <c r="A2" s="1" t="s">
        <v>1</v>
      </c>
      <c r="B2" t="s">
        <v>2</v>
      </c>
    </row>
    <row r="5" spans="1:9">
      <c r="A5" s="8" t="s">
        <v>47</v>
      </c>
      <c r="B5" s="8"/>
    </row>
    <row r="6" spans="1:9">
      <c r="A6" s="4" t="s">
        <v>48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9">
      <c r="A7" s="4" t="s">
        <v>27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digestion_page!B25</f>
        <v>0</v>
      </c>
      <c r="H7" s="11">
        <f>digestion_page!C25</f>
        <v>0</v>
      </c>
      <c r="I7" s="11">
        <f>(LEFT(B7,FIND("/",B7)-1)/RIGHT(B7,LEN(B7)-FIND("/", B7)))</f>
        <v>0</v>
      </c>
    </row>
    <row r="8" spans="1:9">
      <c r="A8" s="4" t="s">
        <v>28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digestion_page!B26</f>
        <v>0</v>
      </c>
      <c r="H8" s="11">
        <f>digestion_page!C26</f>
        <v>0</v>
      </c>
      <c r="I8" s="11">
        <f>(LEFT(B8,FIND("/",B8)-1)/RIGHT(B8,LEN(B8)-FIND("/", B8)))</f>
        <v>0</v>
      </c>
    </row>
    <row r="10" spans="1:9">
      <c r="A10" s="12" t="s">
        <v>53</v>
      </c>
      <c r="B10" s="12"/>
      <c r="C10" s="13">
        <f>AVERAGE(D7:D8)</f>
        <v>0</v>
      </c>
    </row>
    <row r="11" spans="1:9">
      <c r="A11" s="12" t="s">
        <v>53</v>
      </c>
      <c r="B11" s="12"/>
      <c r="C11" s="14">
        <f>AVERAGE(E7:E8)</f>
        <v>0</v>
      </c>
    </row>
    <row r="12" spans="1:9">
      <c r="A12" s="12" t="s">
        <v>54</v>
      </c>
      <c r="B12" s="12"/>
      <c r="C12" s="8"/>
    </row>
    <row r="13" spans="1:9">
      <c r="A13" s="12" t="s">
        <v>55</v>
      </c>
      <c r="B13" s="12"/>
      <c r="C13" s="14">
        <f>AVERAGE(E7:E8)*(C12)</f>
        <v>0</v>
      </c>
    </row>
    <row r="14" spans="1:9">
      <c r="A14" s="12" t="s">
        <v>56</v>
      </c>
      <c r="B14" s="12"/>
      <c r="C14" s="15"/>
      <c r="D14" s="15"/>
      <c r="E14" s="15"/>
      <c r="F14" s="15"/>
    </row>
    <row r="16" spans="1:9">
      <c r="B16" s="12" t="s">
        <v>57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46155</v>
      </c>
    </row>
    <row r="2" spans="1:9">
      <c r="A2" s="1" t="s">
        <v>1</v>
      </c>
      <c r="B2" t="s">
        <v>2</v>
      </c>
    </row>
    <row r="5" spans="1:9">
      <c r="A5" s="8" t="s">
        <v>47</v>
      </c>
      <c r="B5" s="8"/>
    </row>
    <row r="6" spans="1:9">
      <c r="A6" s="4" t="s">
        <v>48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9">
      <c r="A7" s="4" t="s">
        <v>29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digestion_page!B27</f>
        <v>0</v>
      </c>
      <c r="H7" s="11">
        <f>digestion_page!C27</f>
        <v>0</v>
      </c>
      <c r="I7" s="11">
        <f>(LEFT(B7,FIND("/",B7)-1)/RIGHT(B7,LEN(B7)-FIND("/", B7)))</f>
        <v>0</v>
      </c>
    </row>
    <row r="8" spans="1:9">
      <c r="A8" s="4" t="s">
        <v>30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digestion_page!B28</f>
        <v>0</v>
      </c>
      <c r="H8" s="11">
        <f>digestion_page!C28</f>
        <v>0</v>
      </c>
      <c r="I8" s="11">
        <f>(LEFT(B8,FIND("/",B8)-1)/RIGHT(B8,LEN(B8)-FIND("/", B8)))</f>
        <v>0</v>
      </c>
    </row>
    <row r="10" spans="1:9">
      <c r="A10" s="12" t="s">
        <v>53</v>
      </c>
      <c r="B10" s="12"/>
      <c r="C10" s="13">
        <f>AVERAGE(D7:D8)</f>
        <v>0</v>
      </c>
    </row>
    <row r="11" spans="1:9">
      <c r="A11" s="12" t="s">
        <v>53</v>
      </c>
      <c r="B11" s="12"/>
      <c r="C11" s="14">
        <f>AVERAGE(E7:E8)</f>
        <v>0</v>
      </c>
    </row>
    <row r="12" spans="1:9">
      <c r="A12" s="12" t="s">
        <v>54</v>
      </c>
      <c r="B12" s="12"/>
      <c r="C12" s="8"/>
    </row>
    <row r="13" spans="1:9">
      <c r="A13" s="12" t="s">
        <v>55</v>
      </c>
      <c r="B13" s="12"/>
      <c r="C13" s="14">
        <f>AVERAGE(E7:E8)*(C12)</f>
        <v>0</v>
      </c>
    </row>
    <row r="14" spans="1:9">
      <c r="A14" s="12" t="s">
        <v>56</v>
      </c>
      <c r="B14" s="12"/>
      <c r="C14" s="15"/>
      <c r="D14" s="15"/>
      <c r="E14" s="15"/>
      <c r="F14" s="15"/>
    </row>
    <row r="16" spans="1:9">
      <c r="B16" s="12" t="s">
        <v>57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46155</v>
      </c>
    </row>
    <row r="2" spans="1:9">
      <c r="A2" s="1" t="s">
        <v>1</v>
      </c>
      <c r="B2" t="s">
        <v>2</v>
      </c>
    </row>
    <row r="5" spans="1:9">
      <c r="A5" s="8" t="s">
        <v>47</v>
      </c>
      <c r="B5" s="8"/>
    </row>
    <row r="6" spans="1:9">
      <c r="A6" s="4" t="s">
        <v>48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9">
      <c r="A7" s="4" t="s">
        <v>31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digestion_page!B29</f>
        <v>0</v>
      </c>
      <c r="H7" s="11">
        <f>digestion_page!C29</f>
        <v>0</v>
      </c>
      <c r="I7" s="11">
        <f>(LEFT(B7,FIND("/",B7)-1)/RIGHT(B7,LEN(B7)-FIND("/", B7)))</f>
        <v>0</v>
      </c>
    </row>
    <row r="8" spans="1:9">
      <c r="A8" s="4" t="s">
        <v>32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digestion_page!B30</f>
        <v>0</v>
      </c>
      <c r="H8" s="11">
        <f>digestion_page!C30</f>
        <v>0</v>
      </c>
      <c r="I8" s="11">
        <f>(LEFT(B8,FIND("/",B8)-1)/RIGHT(B8,LEN(B8)-FIND("/", B8)))</f>
        <v>0</v>
      </c>
    </row>
    <row r="10" spans="1:9">
      <c r="A10" s="12" t="s">
        <v>53</v>
      </c>
      <c r="B10" s="12"/>
      <c r="C10" s="13">
        <f>AVERAGE(D7:D8)</f>
        <v>0</v>
      </c>
    </row>
    <row r="11" spans="1:9">
      <c r="A11" s="12" t="s">
        <v>53</v>
      </c>
      <c r="B11" s="12"/>
      <c r="C11" s="14">
        <f>AVERAGE(E7:E8)</f>
        <v>0</v>
      </c>
    </row>
    <row r="12" spans="1:9">
      <c r="A12" s="12" t="s">
        <v>54</v>
      </c>
      <c r="B12" s="12"/>
      <c r="C12" s="8"/>
    </row>
    <row r="13" spans="1:9">
      <c r="A13" s="12" t="s">
        <v>55</v>
      </c>
      <c r="B13" s="12"/>
      <c r="C13" s="14">
        <f>AVERAGE(E7:E8)*(C12)</f>
        <v>0</v>
      </c>
    </row>
    <row r="14" spans="1:9">
      <c r="A14" s="12" t="s">
        <v>56</v>
      </c>
      <c r="B14" s="12"/>
      <c r="C14" s="15"/>
      <c r="D14" s="15"/>
      <c r="E14" s="15"/>
      <c r="F14" s="15"/>
    </row>
    <row r="16" spans="1:9">
      <c r="B16" s="12" t="s">
        <v>57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46155</v>
      </c>
    </row>
    <row r="2" spans="1:9">
      <c r="A2" s="1" t="s">
        <v>1</v>
      </c>
      <c r="B2" t="s">
        <v>2</v>
      </c>
    </row>
    <row r="5" spans="1:9">
      <c r="A5" s="8" t="s">
        <v>47</v>
      </c>
      <c r="B5" s="8"/>
    </row>
    <row r="6" spans="1:9">
      <c r="A6" s="4" t="s">
        <v>48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9">
      <c r="A7" s="4" t="s">
        <v>33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digestion_page!B31</f>
        <v>0</v>
      </c>
      <c r="H7" s="11">
        <f>digestion_page!C31</f>
        <v>0</v>
      </c>
      <c r="I7" s="11">
        <f>(LEFT(B7,FIND("/",B7)-1)/RIGHT(B7,LEN(B7)-FIND("/", B7)))</f>
        <v>0</v>
      </c>
    </row>
    <row r="8" spans="1:9">
      <c r="A8" s="4" t="s">
        <v>34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digestion_page!B32</f>
        <v>0</v>
      </c>
      <c r="H8" s="11">
        <f>digestion_page!C32</f>
        <v>0</v>
      </c>
      <c r="I8" s="11">
        <f>(LEFT(B8,FIND("/",B8)-1)/RIGHT(B8,LEN(B8)-FIND("/", B8)))</f>
        <v>0</v>
      </c>
    </row>
    <row r="10" spans="1:9">
      <c r="A10" s="12" t="s">
        <v>53</v>
      </c>
      <c r="B10" s="12"/>
      <c r="C10" s="13">
        <f>AVERAGE(D7:D8)</f>
        <v>0</v>
      </c>
    </row>
    <row r="11" spans="1:9">
      <c r="A11" s="12" t="s">
        <v>53</v>
      </c>
      <c r="B11" s="12"/>
      <c r="C11" s="14">
        <f>AVERAGE(E7:E8)</f>
        <v>0</v>
      </c>
    </row>
    <row r="12" spans="1:9">
      <c r="A12" s="12" t="s">
        <v>54</v>
      </c>
      <c r="B12" s="12"/>
      <c r="C12" s="8"/>
    </row>
    <row r="13" spans="1:9">
      <c r="A13" s="12" t="s">
        <v>55</v>
      </c>
      <c r="B13" s="12"/>
      <c r="C13" s="14">
        <f>AVERAGE(E7:E8)*(C12)</f>
        <v>0</v>
      </c>
    </row>
    <row r="14" spans="1:9">
      <c r="A14" s="12" t="s">
        <v>56</v>
      </c>
      <c r="B14" s="12"/>
      <c r="C14" s="15"/>
      <c r="D14" s="15"/>
      <c r="E14" s="15"/>
      <c r="F14" s="15"/>
    </row>
    <row r="16" spans="1:9">
      <c r="B16" s="12" t="s">
        <v>57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46155</v>
      </c>
    </row>
    <row r="2" spans="1:9">
      <c r="A2" s="1" t="s">
        <v>1</v>
      </c>
      <c r="B2" t="s">
        <v>2</v>
      </c>
    </row>
    <row r="5" spans="1:9">
      <c r="A5" s="8" t="s">
        <v>47</v>
      </c>
      <c r="B5" s="8"/>
    </row>
    <row r="6" spans="1:9">
      <c r="A6" s="4" t="s">
        <v>48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9">
      <c r="A7" s="4" t="s">
        <v>35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digestion_page!B33</f>
        <v>0</v>
      </c>
      <c r="H7" s="11">
        <f>digestion_page!C33</f>
        <v>0</v>
      </c>
      <c r="I7" s="11">
        <f>(LEFT(B7,FIND("/",B7)-1)/RIGHT(B7,LEN(B7)-FIND("/", B7)))</f>
        <v>0</v>
      </c>
    </row>
    <row r="8" spans="1:9">
      <c r="A8" s="4" t="s">
        <v>36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digestion_page!B34</f>
        <v>0</v>
      </c>
      <c r="H8" s="11">
        <f>digestion_page!C34</f>
        <v>0</v>
      </c>
      <c r="I8" s="11">
        <f>(LEFT(B8,FIND("/",B8)-1)/RIGHT(B8,LEN(B8)-FIND("/", B8)))</f>
        <v>0</v>
      </c>
    </row>
    <row r="10" spans="1:9">
      <c r="A10" s="12" t="s">
        <v>53</v>
      </c>
      <c r="B10" s="12"/>
      <c r="C10" s="13">
        <f>AVERAGE(D7:D8)</f>
        <v>0</v>
      </c>
    </row>
    <row r="11" spans="1:9">
      <c r="A11" s="12" t="s">
        <v>53</v>
      </c>
      <c r="B11" s="12"/>
      <c r="C11" s="14">
        <f>AVERAGE(E7:E8)</f>
        <v>0</v>
      </c>
    </row>
    <row r="12" spans="1:9">
      <c r="A12" s="12" t="s">
        <v>54</v>
      </c>
      <c r="B12" s="12"/>
      <c r="C12" s="8"/>
    </row>
    <row r="13" spans="1:9">
      <c r="A13" s="12" t="s">
        <v>55</v>
      </c>
      <c r="B13" s="12"/>
      <c r="C13" s="14">
        <f>AVERAGE(E7:E8)*(C12)</f>
        <v>0</v>
      </c>
    </row>
    <row r="14" spans="1:9">
      <c r="A14" s="12" t="s">
        <v>56</v>
      </c>
      <c r="B14" s="12"/>
      <c r="C14" s="15"/>
      <c r="D14" s="15"/>
      <c r="E14" s="15"/>
      <c r="F14" s="15"/>
    </row>
    <row r="16" spans="1:9">
      <c r="B16" s="12" t="s">
        <v>57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46155</v>
      </c>
    </row>
    <row r="2" spans="1:9">
      <c r="A2" s="1" t="s">
        <v>1</v>
      </c>
      <c r="B2" t="s">
        <v>2</v>
      </c>
    </row>
    <row r="5" spans="1:9">
      <c r="A5" s="8" t="s">
        <v>47</v>
      </c>
      <c r="B5" s="8"/>
    </row>
    <row r="6" spans="1:9">
      <c r="A6" s="4" t="s">
        <v>48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9">
      <c r="A7" s="4" t="s">
        <v>37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digestion_page!B35</f>
        <v>0</v>
      </c>
      <c r="H7" s="11">
        <f>digestion_page!C35</f>
        <v>0</v>
      </c>
      <c r="I7" s="11">
        <f>(LEFT(B7,FIND("/",B7)-1)/RIGHT(B7,LEN(B7)-FIND("/", B7)))</f>
        <v>0</v>
      </c>
    </row>
    <row r="8" spans="1:9">
      <c r="A8" s="4" t="s">
        <v>38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digestion_page!B36</f>
        <v>0</v>
      </c>
      <c r="H8" s="11">
        <f>digestion_page!C36</f>
        <v>0</v>
      </c>
      <c r="I8" s="11">
        <f>(LEFT(B8,FIND("/",B8)-1)/RIGHT(B8,LEN(B8)-FIND("/", B8)))</f>
        <v>0</v>
      </c>
    </row>
    <row r="10" spans="1:9">
      <c r="A10" s="12" t="s">
        <v>53</v>
      </c>
      <c r="B10" s="12"/>
      <c r="C10" s="13">
        <f>AVERAGE(D7:D8)</f>
        <v>0</v>
      </c>
    </row>
    <row r="11" spans="1:9">
      <c r="A11" s="12" t="s">
        <v>53</v>
      </c>
      <c r="B11" s="12"/>
      <c r="C11" s="14">
        <f>AVERAGE(E7:E8)</f>
        <v>0</v>
      </c>
    </row>
    <row r="12" spans="1:9">
      <c r="A12" s="12" t="s">
        <v>54</v>
      </c>
      <c r="B12" s="12"/>
      <c r="C12" s="8"/>
    </row>
    <row r="13" spans="1:9">
      <c r="A13" s="12" t="s">
        <v>55</v>
      </c>
      <c r="B13" s="12"/>
      <c r="C13" s="14">
        <f>AVERAGE(E7:E8)*(C12)</f>
        <v>0</v>
      </c>
    </row>
    <row r="14" spans="1:9">
      <c r="A14" s="12" t="s">
        <v>56</v>
      </c>
      <c r="B14" s="12"/>
      <c r="C14" s="15"/>
      <c r="D14" s="15"/>
      <c r="E14" s="15"/>
      <c r="F14" s="15"/>
    </row>
    <row r="16" spans="1:9">
      <c r="B16" s="12" t="s">
        <v>57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46155</v>
      </c>
    </row>
    <row r="2" spans="1:9">
      <c r="A2" s="1" t="s">
        <v>1</v>
      </c>
      <c r="B2" t="s">
        <v>2</v>
      </c>
    </row>
    <row r="5" spans="1:9">
      <c r="A5" s="8" t="s">
        <v>47</v>
      </c>
      <c r="B5" s="8"/>
    </row>
    <row r="6" spans="1:9">
      <c r="A6" s="4" t="s">
        <v>48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9">
      <c r="A7" s="4" t="s">
        <v>39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digestion_page!B37</f>
        <v>0</v>
      </c>
      <c r="H7" s="11">
        <f>digestion_page!C37</f>
        <v>0</v>
      </c>
      <c r="I7" s="11">
        <f>(LEFT(B7,FIND("/",B7)-1)/RIGHT(B7,LEN(B7)-FIND("/", B7)))</f>
        <v>0</v>
      </c>
    </row>
    <row r="8" spans="1:9">
      <c r="A8" s="4" t="s">
        <v>40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digestion_page!B38</f>
        <v>0</v>
      </c>
      <c r="H8" s="11">
        <f>digestion_page!C38</f>
        <v>0</v>
      </c>
      <c r="I8" s="11">
        <f>(LEFT(B8,FIND("/",B8)-1)/RIGHT(B8,LEN(B8)-FIND("/", B8)))</f>
        <v>0</v>
      </c>
    </row>
    <row r="10" spans="1:9">
      <c r="A10" s="12" t="s">
        <v>53</v>
      </c>
      <c r="B10" s="12"/>
      <c r="C10" s="13">
        <f>AVERAGE(D7:D8)</f>
        <v>0</v>
      </c>
    </row>
    <row r="11" spans="1:9">
      <c r="A11" s="12" t="s">
        <v>53</v>
      </c>
      <c r="B11" s="12"/>
      <c r="C11" s="14">
        <f>AVERAGE(E7:E8)</f>
        <v>0</v>
      </c>
    </row>
    <row r="12" spans="1:9">
      <c r="A12" s="12" t="s">
        <v>54</v>
      </c>
      <c r="B12" s="12"/>
      <c r="C12" s="8"/>
    </row>
    <row r="13" spans="1:9">
      <c r="A13" s="12" t="s">
        <v>55</v>
      </c>
      <c r="B13" s="12"/>
      <c r="C13" s="14">
        <f>AVERAGE(E7:E8)*(C12)</f>
        <v>0</v>
      </c>
    </row>
    <row r="14" spans="1:9">
      <c r="A14" s="12" t="s">
        <v>56</v>
      </c>
      <c r="B14" s="12"/>
      <c r="C14" s="15"/>
      <c r="D14" s="15"/>
      <c r="E14" s="15"/>
      <c r="F14" s="15"/>
    </row>
    <row r="16" spans="1:9">
      <c r="B16" s="12" t="s">
        <v>57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46155</v>
      </c>
    </row>
    <row r="2" spans="1:9">
      <c r="A2" s="1" t="s">
        <v>1</v>
      </c>
      <c r="B2" t="s">
        <v>2</v>
      </c>
    </row>
    <row r="5" spans="1:9">
      <c r="A5" s="8" t="s">
        <v>47</v>
      </c>
      <c r="B5" s="8"/>
    </row>
    <row r="6" spans="1:9">
      <c r="A6" s="4" t="s">
        <v>48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9">
      <c r="A7" s="4" t="s">
        <v>41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digestion_page!B39</f>
        <v>0</v>
      </c>
      <c r="H7" s="11">
        <f>digestion_page!C39</f>
        <v>0</v>
      </c>
      <c r="I7" s="11">
        <f>(LEFT(B7,FIND("/",B7)-1)/RIGHT(B7,LEN(B7)-FIND("/", B7)))</f>
        <v>0</v>
      </c>
    </row>
    <row r="8" spans="1:9">
      <c r="A8" s="4" t="s">
        <v>42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digestion_page!B40</f>
        <v>0</v>
      </c>
      <c r="H8" s="11">
        <f>digestion_page!C40</f>
        <v>0</v>
      </c>
      <c r="I8" s="11">
        <f>(LEFT(B8,FIND("/",B8)-1)/RIGHT(B8,LEN(B8)-FIND("/", B8)))</f>
        <v>0</v>
      </c>
    </row>
    <row r="10" spans="1:9">
      <c r="A10" s="12" t="s">
        <v>53</v>
      </c>
      <c r="B10" s="12"/>
      <c r="C10" s="13">
        <f>AVERAGE(D7:D8)</f>
        <v>0</v>
      </c>
    </row>
    <row r="11" spans="1:9">
      <c r="A11" s="12" t="s">
        <v>53</v>
      </c>
      <c r="B11" s="12"/>
      <c r="C11" s="14">
        <f>AVERAGE(E7:E8)</f>
        <v>0</v>
      </c>
    </row>
    <row r="12" spans="1:9">
      <c r="A12" s="12" t="s">
        <v>54</v>
      </c>
      <c r="B12" s="12"/>
      <c r="C12" s="8"/>
    </row>
    <row r="13" spans="1:9">
      <c r="A13" s="12" t="s">
        <v>55</v>
      </c>
      <c r="B13" s="12"/>
      <c r="C13" s="14">
        <f>AVERAGE(E7:E8)*(C12)</f>
        <v>0</v>
      </c>
    </row>
    <row r="14" spans="1:9">
      <c r="A14" s="12" t="s">
        <v>56</v>
      </c>
      <c r="B14" s="12"/>
      <c r="C14" s="15"/>
      <c r="D14" s="15"/>
      <c r="E14" s="15"/>
      <c r="F14" s="15"/>
    </row>
    <row r="16" spans="1:9">
      <c r="B16" s="12" t="s">
        <v>57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46155</v>
      </c>
    </row>
    <row r="2" spans="1:9">
      <c r="A2" s="1" t="s">
        <v>1</v>
      </c>
      <c r="B2" t="s">
        <v>2</v>
      </c>
    </row>
    <row r="5" spans="1:9">
      <c r="A5" s="8" t="s">
        <v>47</v>
      </c>
      <c r="B5" s="8"/>
    </row>
    <row r="6" spans="1:9">
      <c r="A6" s="4" t="s">
        <v>48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9">
      <c r="A7" s="4" t="s">
        <v>43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digestion_page!B41</f>
        <v>0</v>
      </c>
      <c r="H7" s="11">
        <f>digestion_page!C41</f>
        <v>0</v>
      </c>
      <c r="I7" s="11">
        <f>(LEFT(B7,FIND("/",B7)-1)/RIGHT(B7,LEN(B7)-FIND("/", B7)))</f>
        <v>0</v>
      </c>
    </row>
    <row r="8" spans="1:9">
      <c r="A8" s="4" t="s">
        <v>44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digestion_page!B42</f>
        <v>0</v>
      </c>
      <c r="H8" s="11">
        <f>digestion_page!C42</f>
        <v>0</v>
      </c>
      <c r="I8" s="11">
        <f>(LEFT(B8,FIND("/",B8)-1)/RIGHT(B8,LEN(B8)-FIND("/", B8)))</f>
        <v>0</v>
      </c>
    </row>
    <row r="10" spans="1:9">
      <c r="A10" s="12" t="s">
        <v>53</v>
      </c>
      <c r="B10" s="12"/>
      <c r="C10" s="13">
        <f>AVERAGE(D7:D8)</f>
        <v>0</v>
      </c>
    </row>
    <row r="11" spans="1:9">
      <c r="A11" s="12" t="s">
        <v>53</v>
      </c>
      <c r="B11" s="12"/>
      <c r="C11" s="14">
        <f>AVERAGE(E7:E8)</f>
        <v>0</v>
      </c>
    </row>
    <row r="12" spans="1:9">
      <c r="A12" s="12" t="s">
        <v>54</v>
      </c>
      <c r="B12" s="12"/>
      <c r="C12" s="8"/>
    </row>
    <row r="13" spans="1:9">
      <c r="A13" s="12" t="s">
        <v>55</v>
      </c>
      <c r="B13" s="12"/>
      <c r="C13" s="14">
        <f>AVERAGE(E7:E8)*(C12)</f>
        <v>0</v>
      </c>
    </row>
    <row r="14" spans="1:9">
      <c r="A14" s="12" t="s">
        <v>56</v>
      </c>
      <c r="B14" s="12"/>
      <c r="C14" s="15"/>
      <c r="D14" s="15"/>
      <c r="E14" s="15"/>
      <c r="F14" s="15"/>
    </row>
    <row r="16" spans="1:9">
      <c r="B16" s="12" t="s">
        <v>57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46155</v>
      </c>
    </row>
    <row r="2" spans="1:9">
      <c r="A2" s="1" t="s">
        <v>1</v>
      </c>
      <c r="B2" t="s">
        <v>2</v>
      </c>
    </row>
    <row r="5" spans="1:9">
      <c r="A5" s="8" t="s">
        <v>47</v>
      </c>
      <c r="B5" s="8"/>
    </row>
    <row r="6" spans="1:9">
      <c r="A6" s="4" t="s">
        <v>48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9">
      <c r="A7" s="4" t="s">
        <v>45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digestion_page!B43</f>
        <v>0</v>
      </c>
      <c r="H7" s="11">
        <f>digestion_page!C43</f>
        <v>0</v>
      </c>
      <c r="I7" s="11">
        <f>(LEFT(B7,FIND("/",B7)-1)/RIGHT(B7,LEN(B7)-FIND("/", B7)))</f>
        <v>0</v>
      </c>
    </row>
    <row r="8" spans="1:9">
      <c r="A8" s="4" t="s">
        <v>46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digestion_page!B44</f>
        <v>0</v>
      </c>
      <c r="H8" s="11">
        <f>digestion_page!C44</f>
        <v>0</v>
      </c>
      <c r="I8" s="11">
        <f>(LEFT(B8,FIND("/",B8)-1)/RIGHT(B8,LEN(B8)-FIND("/", B8)))</f>
        <v>0</v>
      </c>
    </row>
    <row r="10" spans="1:9">
      <c r="A10" s="12" t="s">
        <v>53</v>
      </c>
      <c r="B10" s="12"/>
      <c r="C10" s="13">
        <f>AVERAGE(D7:D8)</f>
        <v>0</v>
      </c>
    </row>
    <row r="11" spans="1:9">
      <c r="A11" s="12" t="s">
        <v>53</v>
      </c>
      <c r="B11" s="12"/>
      <c r="C11" s="14">
        <f>AVERAGE(E7:E8)</f>
        <v>0</v>
      </c>
    </row>
    <row r="12" spans="1:9">
      <c r="A12" s="12" t="s">
        <v>54</v>
      </c>
      <c r="B12" s="12"/>
      <c r="C12" s="8"/>
    </row>
    <row r="13" spans="1:9">
      <c r="A13" s="12" t="s">
        <v>55</v>
      </c>
      <c r="B13" s="12"/>
      <c r="C13" s="14">
        <f>AVERAGE(E7:E8)*(C12)</f>
        <v>0</v>
      </c>
    </row>
    <row r="14" spans="1:9">
      <c r="A14" s="12" t="s">
        <v>56</v>
      </c>
      <c r="B14" s="12"/>
      <c r="C14" s="15"/>
      <c r="D14" s="15"/>
      <c r="E14" s="15"/>
      <c r="F14" s="15"/>
    </row>
    <row r="16" spans="1:9">
      <c r="B16" s="12" t="s">
        <v>57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58</v>
      </c>
    </row>
    <row r="2" spans="1:1">
      <c r="A2" s="17" t="s">
        <v>59</v>
      </c>
    </row>
    <row r="3" spans="1:1">
      <c r="A3" s="17" t="s">
        <v>60</v>
      </c>
    </row>
    <row r="5" spans="1:1">
      <c r="A5" s="17" t="s">
        <v>61</v>
      </c>
    </row>
    <row r="7" spans="1:1">
      <c r="A7" s="17" t="s">
        <v>62</v>
      </c>
    </row>
    <row r="9" spans="1:1">
      <c r="A9" s="17" t="s">
        <v>63</v>
      </c>
    </row>
    <row r="11" spans="1:1">
      <c r="A11" s="17" t="s">
        <v>64</v>
      </c>
    </row>
    <row r="13" spans="1:1">
      <c r="A13" s="17" t="s">
        <v>65</v>
      </c>
    </row>
    <row r="15" spans="1:1">
      <c r="A15" s="17" t="s">
        <v>66</v>
      </c>
    </row>
    <row r="17" spans="1:1">
      <c r="A17" s="17" t="s">
        <v>67</v>
      </c>
    </row>
    <row r="19" spans="1:1">
      <c r="A19" s="17" t="s">
        <v>68</v>
      </c>
    </row>
    <row r="21" spans="1:1">
      <c r="A21" s="17" t="s">
        <v>69</v>
      </c>
    </row>
    <row r="23" spans="1:1">
      <c r="A23" s="17" t="s">
        <v>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digestion_page</vt:lpstr>
      <vt:lpstr>200126511</vt:lpstr>
      <vt:lpstr>200126512</vt:lpstr>
      <vt:lpstr>200126513</vt:lpstr>
      <vt:lpstr>200126514</vt:lpstr>
      <vt:lpstr>200126515</vt:lpstr>
      <vt:lpstr>200126516</vt:lpstr>
      <vt:lpstr>200126517</vt:lpstr>
      <vt:lpstr>200126518</vt:lpstr>
      <vt:lpstr>200126519</vt:lpstr>
      <vt:lpstr>200126520</vt:lpstr>
      <vt:lpstr>200126521</vt:lpstr>
      <vt:lpstr>200126522</vt:lpstr>
      <vt:lpstr>200126523</vt:lpstr>
      <vt:lpstr>200126524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2026-05-13T14:50:55Z</dcterms:created>
  <dcterms:modified xsi:type="dcterms:W3CDTF">2026-05-13T14:50:55Z</dcterms:modified>
</cp:coreProperties>
</file>