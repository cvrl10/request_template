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cheme\PycharmProjects\request_template\"/>
    </mc:Choice>
  </mc:AlternateContent>
  <xr:revisionPtr revIDLastSave="0" documentId="13_ncr:1_{7AE8CDDB-2B64-48E9-94B6-C6E8A41F9E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gestion_page" sheetId="1" r:id="rId1"/>
    <sheet name="200127929" sheetId="2" r:id="rId2"/>
    <sheet name="formula_pag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2" l="1"/>
  <c r="I34" i="2" s="1"/>
  <c r="B33" i="2"/>
  <c r="I33" i="2" s="1"/>
  <c r="B23" i="2"/>
  <c r="I23" i="2" s="1"/>
  <c r="B22" i="2"/>
  <c r="B12" i="2"/>
  <c r="I12" i="2" s="1"/>
  <c r="B11" i="2"/>
  <c r="I11" i="2" s="1"/>
  <c r="H34" i="2"/>
  <c r="G34" i="2"/>
  <c r="H33" i="2"/>
  <c r="G33" i="2"/>
  <c r="H23" i="2"/>
  <c r="G23" i="2"/>
  <c r="H22" i="2"/>
  <c r="G22" i="2"/>
  <c r="I22" i="2"/>
  <c r="H12" i="2"/>
  <c r="G12" i="2"/>
  <c r="H11" i="2"/>
  <c r="G11" i="2"/>
  <c r="E7" i="2"/>
  <c r="F7" i="2" s="1"/>
  <c r="D6" i="2"/>
  <c r="D22" i="2" l="1"/>
  <c r="E22" i="2" s="1"/>
  <c r="D23" i="2"/>
  <c r="E23" i="2" s="1"/>
  <c r="D11" i="2"/>
  <c r="D33" i="2"/>
  <c r="D12" i="2"/>
  <c r="E12" i="2" s="1"/>
  <c r="D34" i="2"/>
  <c r="E34" i="2" s="1"/>
  <c r="C25" i="2" l="1"/>
  <c r="C28" i="2"/>
  <c r="C26" i="2"/>
  <c r="C36" i="2"/>
  <c r="E33" i="2"/>
  <c r="C14" i="2"/>
  <c r="E11" i="2"/>
  <c r="C39" i="2" l="1"/>
  <c r="C37" i="2"/>
  <c r="C17" i="2"/>
  <c r="C15" i="2"/>
</calcChain>
</file>

<file path=xl/sharedStrings.xml><?xml version="1.0" encoding="utf-8"?>
<sst xmlns="http://schemas.openxmlformats.org/spreadsheetml/2006/main" count="84" uniqueCount="65">
  <si>
    <t>Date:</t>
  </si>
  <si>
    <t>Request ID:</t>
  </si>
  <si>
    <t>100048535</t>
  </si>
  <si>
    <t>Microwave</t>
  </si>
  <si>
    <t>Element(s)</t>
  </si>
  <si>
    <t>Cu, Fe, K</t>
  </si>
  <si>
    <t>SOP#</t>
  </si>
  <si>
    <t>Acid Cocktail</t>
  </si>
  <si>
    <t>Rack</t>
  </si>
  <si>
    <t>Vessel</t>
  </si>
  <si>
    <t>Stir</t>
  </si>
  <si>
    <t>Time (min)</t>
  </si>
  <si>
    <t>Power (W)</t>
  </si>
  <si>
    <t>T1 (°C)</t>
  </si>
  <si>
    <t>T2 (°C)</t>
  </si>
  <si>
    <t>P (bar)</t>
  </si>
  <si>
    <t>sample(s)</t>
  </si>
  <si>
    <t>weight (g)</t>
  </si>
  <si>
    <t>volume (mL)</t>
  </si>
  <si>
    <t>200127929_1</t>
  </si>
  <si>
    <t>200127929_2</t>
  </si>
  <si>
    <t>LOI temp:</t>
  </si>
  <si>
    <t>sample</t>
  </si>
  <si>
    <t>crucible (g)</t>
  </si>
  <si>
    <t>crucible + sample (g)</t>
  </si>
  <si>
    <t>LOI (%)</t>
  </si>
  <si>
    <t>correction</t>
  </si>
  <si>
    <t>200127929</t>
  </si>
  <si>
    <t>Cu ICP analysis</t>
  </si>
  <si>
    <t>Dilution</t>
  </si>
  <si>
    <t>conc. [mg/L]</t>
  </si>
  <si>
    <t>Cu_ppm [dried]</t>
  </si>
  <si>
    <t>%Cu [dried]</t>
  </si>
  <si>
    <t>cu result:</t>
  </si>
  <si>
    <t>cu oxide factor:</t>
  </si>
  <si>
    <t>cu oxide result:</t>
  </si>
  <si>
    <t>cu lot:</t>
  </si>
  <si>
    <t>Fe ICP analysis</t>
  </si>
  <si>
    <t>Fe_ppm [dried]</t>
  </si>
  <si>
    <t>%Fe [dried]</t>
  </si>
  <si>
    <t>fe result:</t>
  </si>
  <si>
    <t>fe oxide factor:</t>
  </si>
  <si>
    <t>fe oxide result:</t>
  </si>
  <si>
    <t>fe lot:</t>
  </si>
  <si>
    <t>K ICP analysis</t>
  </si>
  <si>
    <t>K_ppm [dried]</t>
  </si>
  <si>
    <t>%K [dried]</t>
  </si>
  <si>
    <t>k result:</t>
  </si>
  <si>
    <t>k oxide factor:</t>
  </si>
  <si>
    <t>k oxide result:</t>
  </si>
  <si>
    <t>k lot:</t>
  </si>
  <si>
    <t>Note(s):</t>
  </si>
  <si>
    <t>A = crucible</t>
  </si>
  <si>
    <t>B = crucible + sample</t>
  </si>
  <si>
    <t>C = crucible + sample after drying</t>
  </si>
  <si>
    <t>%LOI = ([B-A]-[C-A])/(B-A)*100%</t>
  </si>
  <si>
    <t>ppm M+ = [conc.][volume][dilution]/[weight]</t>
  </si>
  <si>
    <t>%M+ = [conc.][volume][dilution]/([weight]*10,000)</t>
  </si>
  <si>
    <t>%MO = [oxide factor]*%M+</t>
  </si>
  <si>
    <t>ppm M+  [dried] = ppm M+/([1-(%LOI)/100])</t>
  </si>
  <si>
    <t>%M+  [dried] = %M+/([1-(%LOI)/100])</t>
  </si>
  <si>
    <t>%MO [dried] = %MO/([1-(%LOI)/100])</t>
  </si>
  <si>
    <t>%Cr(VI) = (1.733[mL FAS][N FAS])/([weight])</t>
  </si>
  <si>
    <t>%Cr2O3 = 1.462*[%Cr(VI)]</t>
  </si>
  <si>
    <t>%Cr(III) = total_Cr - Cr(VI)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</si>
</sst>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\-mm\-dd"/>
    <numFmt numFmtId="165" formatCode="0.0000"/>
    <numFmt numFmtId="166" formatCode="######&quot; °C&quot;"/>
    <numFmt numFmtId="167" formatCode="0.000"/>
    <numFmt numFmtId="168" formatCode="0.00&quot; ppm&quot;"/>
    <numFmt numFmtId="169" formatCode="0.00&quot; %&quot;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/>
    <xf numFmtId="0" fontId="1" fillId="0" borderId="1" xfId="0" applyFont="1" applyBorder="1"/>
    <xf numFmtId="0" fontId="0" fillId="0" borderId="1" xfId="0" applyBorder="1"/>
    <xf numFmtId="165" fontId="0" fillId="0" borderId="1" xfId="0" applyNumberFormat="1" applyBorder="1"/>
    <xf numFmtId="0" fontId="0" fillId="0" borderId="0" xfId="0" applyAlignment="1">
      <alignment horizontal="right"/>
    </xf>
    <xf numFmtId="166" fontId="0" fillId="0" borderId="0" xfId="0" applyNumberFormat="1"/>
    <xf numFmtId="2" fontId="0" fillId="0" borderId="1" xfId="0" applyNumberFormat="1" applyBorder="1"/>
    <xf numFmtId="0" fontId="0" fillId="0" borderId="0" xfId="0" applyAlignment="1">
      <alignment horizontal="left"/>
    </xf>
    <xf numFmtId="167" fontId="0" fillId="0" borderId="1" xfId="0" applyNumberFormat="1" applyBorder="1"/>
    <xf numFmtId="0" fontId="2" fillId="0" borderId="0" xfId="0" applyFont="1"/>
    <xf numFmtId="168" fontId="0" fillId="0" borderId="0" xfId="0" applyNumberFormat="1" applyAlignment="1">
      <alignment horizontal="left"/>
    </xf>
    <xf numFmtId="169" fontId="0" fillId="0" borderId="0" xfId="0" applyNumberFormat="1" applyAlignment="1">
      <alignment horizontal="left"/>
    </xf>
    <xf numFmtId="0" fontId="4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3" fillId="0" borderId="0" xfId="0" applyFont="1"/>
    <xf numFmtId="0" fontId="3" fillId="0" borderId="0" xfId="0" applyFont="1" applyAlignment="1">
      <alignment horizontal="left" vertical="top" wrapText="1"/>
    </xf>
    <xf numFmtId="0" fontId="0" fillId="2" borderId="0" xfId="0" applyFill="1" applyAlignment="1">
      <alignment horizontal="right"/>
    </xf>
    <xf numFmtId="169" fontId="0" fillId="2" borderId="0" xfId="0" applyNumberFormat="1" applyFill="1" applyAlignment="1">
      <alignment horizontal="left"/>
    </xf>
  </cellXfs>
  <cellStyles count="1">
    <cellStyle name="Normal" xfId="0" builtinId="0"/>
  </cellStyles>
  <dxfs count="4"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H22" sqref="H22"/>
    </sheetView>
  </sheetViews>
  <sheetFormatPr defaultRowHeight="15" x14ac:dyDescent="0.25"/>
  <cols>
    <col min="1" max="1" width="12.28515625" bestFit="1" customWidth="1"/>
    <col min="2" max="2" width="10.7109375" customWidth="1"/>
    <col min="3" max="3" width="12.140625" bestFit="1" customWidth="1"/>
    <col min="4" max="4" width="7.140625" bestFit="1" customWidth="1"/>
    <col min="5" max="5" width="6.85546875" bestFit="1" customWidth="1"/>
  </cols>
  <sheetData>
    <row r="1" spans="1:5" x14ac:dyDescent="0.25">
      <c r="A1" s="1" t="s">
        <v>0</v>
      </c>
      <c r="B1" s="2">
        <v>46153</v>
      </c>
    </row>
    <row r="2" spans="1:5" x14ac:dyDescent="0.25">
      <c r="A2" s="1" t="s">
        <v>1</v>
      </c>
      <c r="B2" t="s">
        <v>2</v>
      </c>
    </row>
    <row r="5" spans="1:5" x14ac:dyDescent="0.25">
      <c r="A5" s="15" t="s">
        <v>3</v>
      </c>
      <c r="B5" s="15"/>
      <c r="C5" s="15"/>
      <c r="D5" s="15"/>
      <c r="E5" s="15"/>
    </row>
    <row r="6" spans="1:5" x14ac:dyDescent="0.25">
      <c r="A6" s="3" t="s">
        <v>4</v>
      </c>
      <c r="B6" s="16" t="s">
        <v>5</v>
      </c>
      <c r="C6" s="16"/>
      <c r="D6" s="16"/>
      <c r="E6" s="16"/>
    </row>
    <row r="7" spans="1:5" x14ac:dyDescent="0.25">
      <c r="A7" s="3" t="s">
        <v>6</v>
      </c>
      <c r="B7" s="16"/>
      <c r="C7" s="16"/>
      <c r="D7" s="16"/>
      <c r="E7" s="16"/>
    </row>
    <row r="8" spans="1:5" x14ac:dyDescent="0.25">
      <c r="A8" s="3" t="s">
        <v>7</v>
      </c>
      <c r="B8" s="16"/>
      <c r="C8" s="16"/>
      <c r="D8" s="16"/>
      <c r="E8" s="16"/>
    </row>
    <row r="9" spans="1:5" x14ac:dyDescent="0.25">
      <c r="A9" s="3" t="s">
        <v>8</v>
      </c>
      <c r="B9" s="17"/>
      <c r="C9" s="17"/>
      <c r="D9" s="17"/>
      <c r="E9" s="17"/>
    </row>
    <row r="10" spans="1:5" x14ac:dyDescent="0.25">
      <c r="A10" s="3" t="s">
        <v>9</v>
      </c>
      <c r="B10" s="16"/>
      <c r="C10" s="16"/>
      <c r="D10" s="16"/>
      <c r="E10" s="16"/>
    </row>
    <row r="11" spans="1:5" x14ac:dyDescent="0.25">
      <c r="A11" s="3" t="s">
        <v>10</v>
      </c>
      <c r="B11" s="17"/>
      <c r="C11" s="17"/>
      <c r="D11" s="17"/>
      <c r="E11" s="17"/>
    </row>
    <row r="12" spans="1:5" x14ac:dyDescent="0.25">
      <c r="A12" s="3" t="s">
        <v>11</v>
      </c>
      <c r="B12" s="3" t="s">
        <v>12</v>
      </c>
      <c r="C12" s="3" t="s">
        <v>13</v>
      </c>
      <c r="D12" s="3" t="s">
        <v>14</v>
      </c>
      <c r="E12" s="3" t="s">
        <v>15</v>
      </c>
    </row>
    <row r="13" spans="1:5" x14ac:dyDescent="0.25">
      <c r="A13" s="4">
        <v>15</v>
      </c>
      <c r="B13" s="4">
        <v>1200</v>
      </c>
      <c r="C13" s="4">
        <v>180</v>
      </c>
      <c r="D13" s="4">
        <v>65</v>
      </c>
      <c r="E13" s="4">
        <v>110</v>
      </c>
    </row>
    <row r="14" spans="1:5" x14ac:dyDescent="0.25">
      <c r="A14" s="4">
        <v>15</v>
      </c>
      <c r="B14" s="4">
        <v>1500</v>
      </c>
      <c r="C14" s="4">
        <v>240</v>
      </c>
      <c r="D14" s="4">
        <v>65</v>
      </c>
      <c r="E14" s="4">
        <v>110</v>
      </c>
    </row>
    <row r="15" spans="1:5" x14ac:dyDescent="0.25">
      <c r="A15" s="4"/>
      <c r="B15" s="4"/>
      <c r="C15" s="4"/>
      <c r="D15" s="4"/>
      <c r="E15" s="4"/>
    </row>
    <row r="16" spans="1:5" x14ac:dyDescent="0.25">
      <c r="A16" s="3" t="s">
        <v>16</v>
      </c>
      <c r="B16" s="3" t="s">
        <v>17</v>
      </c>
      <c r="C16" s="3" t="s">
        <v>18</v>
      </c>
    </row>
    <row r="17" spans="1:3" x14ac:dyDescent="0.25">
      <c r="A17" s="3" t="s">
        <v>19</v>
      </c>
      <c r="B17" s="5">
        <v>0.30570000000000003</v>
      </c>
      <c r="C17" s="4">
        <v>250</v>
      </c>
    </row>
    <row r="18" spans="1:3" x14ac:dyDescent="0.25">
      <c r="A18" s="3" t="s">
        <v>20</v>
      </c>
      <c r="B18" s="5">
        <v>0.30730000000000002</v>
      </c>
      <c r="C18" s="4">
        <v>250</v>
      </c>
    </row>
  </sheetData>
  <mergeCells count="7">
    <mergeCell ref="B10:E10"/>
    <mergeCell ref="B11:E11"/>
    <mergeCell ref="A5:E5"/>
    <mergeCell ref="B6:E6"/>
    <mergeCell ref="B7:E7"/>
    <mergeCell ref="B8:E8"/>
    <mergeCell ref="B9:E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4"/>
  <sheetViews>
    <sheetView workbookViewId="0">
      <selection activeCell="H26" sqref="H26"/>
    </sheetView>
  </sheetViews>
  <sheetFormatPr defaultRowHeight="15" x14ac:dyDescent="0.25"/>
  <cols>
    <col min="1" max="1" width="14.5703125" bestFit="1" customWidth="1"/>
    <col min="2" max="2" width="10.85546875" bestFit="1" customWidth="1"/>
    <col min="3" max="3" width="19.140625" bestFit="1" customWidth="1"/>
    <col min="4" max="4" width="14.85546875" bestFit="1" customWidth="1"/>
    <col min="5" max="5" width="11.42578125" bestFit="1" customWidth="1"/>
    <col min="6" max="6" width="10" bestFit="1" customWidth="1"/>
  </cols>
  <sheetData>
    <row r="1" spans="1:9" x14ac:dyDescent="0.25">
      <c r="A1" s="1" t="s">
        <v>0</v>
      </c>
      <c r="B1" s="2">
        <v>46153</v>
      </c>
    </row>
    <row r="2" spans="1:9" x14ac:dyDescent="0.25">
      <c r="A2" s="1" t="s">
        <v>1</v>
      </c>
      <c r="B2" t="s">
        <v>2</v>
      </c>
    </row>
    <row r="5" spans="1:9" x14ac:dyDescent="0.25">
      <c r="A5" s="6" t="s">
        <v>21</v>
      </c>
      <c r="B5" s="7">
        <v>900</v>
      </c>
    </row>
    <row r="6" spans="1:9" x14ac:dyDescent="0.25">
      <c r="A6" s="3" t="s">
        <v>22</v>
      </c>
      <c r="B6" s="3" t="s">
        <v>23</v>
      </c>
      <c r="C6" s="3" t="s">
        <v>24</v>
      </c>
      <c r="D6" s="3" t="str">
        <f>"after "&amp;B5&amp;" °C"</f>
        <v>after 900 °C</v>
      </c>
      <c r="E6" s="3" t="s">
        <v>25</v>
      </c>
      <c r="F6" s="3" t="s">
        <v>26</v>
      </c>
    </row>
    <row r="7" spans="1:9" x14ac:dyDescent="0.25">
      <c r="A7" s="3" t="s">
        <v>27</v>
      </c>
      <c r="B7" s="4">
        <v>25.787700000000001</v>
      </c>
      <c r="C7" s="4">
        <v>27.875</v>
      </c>
      <c r="D7" s="4">
        <v>27.7653</v>
      </c>
      <c r="E7" s="8">
        <f>(((C7-B7)-(D7-B7))/(C7-B7))*100</f>
        <v>5.2555933502611119</v>
      </c>
      <c r="F7" s="5">
        <f>1-(E7/100)</f>
        <v>0.94744406649738888</v>
      </c>
    </row>
    <row r="9" spans="1:9" x14ac:dyDescent="0.25">
      <c r="A9" s="18" t="s">
        <v>28</v>
      </c>
      <c r="B9" s="18"/>
    </row>
    <row r="10" spans="1:9" x14ac:dyDescent="0.25">
      <c r="A10" s="3" t="s">
        <v>22</v>
      </c>
      <c r="B10" s="3" t="s">
        <v>29</v>
      </c>
      <c r="C10" s="3" t="s">
        <v>30</v>
      </c>
      <c r="D10" s="3" t="s">
        <v>31</v>
      </c>
      <c r="E10" s="3" t="s">
        <v>32</v>
      </c>
    </row>
    <row r="11" spans="1:9" x14ac:dyDescent="0.25">
      <c r="A11" s="3" t="s">
        <v>19</v>
      </c>
      <c r="B11" s="4" t="str">
        <f>"100/1"</f>
        <v>100/1</v>
      </c>
      <c r="C11" s="10">
        <v>6.0049999999999999</v>
      </c>
      <c r="D11" s="8">
        <f>((C11)*(H11)*(I11))/(G11*$F$7)</f>
        <v>518327.20201950433</v>
      </c>
      <c r="E11" s="8">
        <f>D11/10000</f>
        <v>51.83272020195043</v>
      </c>
      <c r="G11" s="11">
        <f>digestion_page!B17</f>
        <v>0.30570000000000003</v>
      </c>
      <c r="H11" s="11">
        <f>digestion_page!C17</f>
        <v>250</v>
      </c>
      <c r="I11" s="11">
        <f>(LEFT(B11,FIND("/",B11)-1)/RIGHT(B11,LEN(B11)-FIND("/", B11)))</f>
        <v>100</v>
      </c>
    </row>
    <row r="12" spans="1:9" x14ac:dyDescent="0.25">
      <c r="A12" s="3" t="s">
        <v>20</v>
      </c>
      <c r="B12" s="4" t="str">
        <f>"100/1"</f>
        <v>100/1</v>
      </c>
      <c r="C12" s="10">
        <v>6.2374000000000001</v>
      </c>
      <c r="D12" s="8">
        <f>((C12)*(H12)*(I12))/(G12*$F$7)</f>
        <v>535583.83919422433</v>
      </c>
      <c r="E12" s="8">
        <f>D12/10000</f>
        <v>53.558383919422432</v>
      </c>
      <c r="G12" s="11">
        <f>digestion_page!B18</f>
        <v>0.30730000000000002</v>
      </c>
      <c r="H12" s="11">
        <f>digestion_page!C18</f>
        <v>250</v>
      </c>
      <c r="I12" s="11">
        <f>(LEFT(B12,FIND("/",B12)-1)/RIGHT(B12,LEN(B12)-FIND("/", B12)))</f>
        <v>100</v>
      </c>
    </row>
    <row r="14" spans="1:9" x14ac:dyDescent="0.25">
      <c r="A14" s="19" t="s">
        <v>33</v>
      </c>
      <c r="B14" s="19"/>
      <c r="C14" s="12">
        <f>AVERAGE(D11:D12)</f>
        <v>526955.52060686436</v>
      </c>
    </row>
    <row r="15" spans="1:9" x14ac:dyDescent="0.25">
      <c r="A15" s="19" t="s">
        <v>33</v>
      </c>
      <c r="B15" s="19"/>
      <c r="C15" s="13">
        <f>AVERAGE(E11:E12)</f>
        <v>52.695552060686431</v>
      </c>
    </row>
    <row r="16" spans="1:9" x14ac:dyDescent="0.25">
      <c r="A16" s="19" t="s">
        <v>34</v>
      </c>
      <c r="B16" s="19"/>
      <c r="C16" s="9">
        <v>1.252</v>
      </c>
    </row>
    <row r="17" spans="1:9" x14ac:dyDescent="0.25">
      <c r="A17" s="22" t="s">
        <v>35</v>
      </c>
      <c r="B17" s="22"/>
      <c r="C17" s="23">
        <f>AVERAGE(E11:E12)*(C16)</f>
        <v>65.974831179979418</v>
      </c>
    </row>
    <row r="18" spans="1:9" x14ac:dyDescent="0.25">
      <c r="A18" s="19" t="s">
        <v>36</v>
      </c>
      <c r="B18" s="19"/>
      <c r="C18" s="20"/>
      <c r="D18" s="20"/>
      <c r="E18" s="20"/>
      <c r="F18" s="20"/>
    </row>
    <row r="20" spans="1:9" x14ac:dyDescent="0.25">
      <c r="A20" s="18" t="s">
        <v>37</v>
      </c>
      <c r="B20" s="18"/>
    </row>
    <row r="21" spans="1:9" x14ac:dyDescent="0.25">
      <c r="A21" s="3" t="s">
        <v>22</v>
      </c>
      <c r="B21" s="3" t="s">
        <v>29</v>
      </c>
      <c r="C21" s="3" t="s">
        <v>30</v>
      </c>
      <c r="D21" s="3" t="s">
        <v>38</v>
      </c>
      <c r="E21" s="3" t="s">
        <v>39</v>
      </c>
    </row>
    <row r="22" spans="1:9" x14ac:dyDescent="0.25">
      <c r="A22" s="3" t="s">
        <v>19</v>
      </c>
      <c r="B22" s="4" t="str">
        <f>"100/1"</f>
        <v>100/1</v>
      </c>
      <c r="C22" s="10">
        <v>2.4750000000000001</v>
      </c>
      <c r="D22" s="8">
        <f>((C22)*(H22)*(I22))/(G22*$F$7)</f>
        <v>213631.94421286814</v>
      </c>
      <c r="E22" s="8">
        <f>D22/10000</f>
        <v>21.363194421286813</v>
      </c>
      <c r="G22" s="11">
        <f>digestion_page!B17</f>
        <v>0.30570000000000003</v>
      </c>
      <c r="H22" s="11">
        <f>digestion_page!C17</f>
        <v>250</v>
      </c>
      <c r="I22" s="11">
        <f>(LEFT(B22,FIND("/",B22)-1)/RIGHT(B22,LEN(B22)-FIND("/", B22)))</f>
        <v>100</v>
      </c>
    </row>
    <row r="23" spans="1:9" x14ac:dyDescent="0.25">
      <c r="A23" s="3" t="s">
        <v>20</v>
      </c>
      <c r="B23" s="4" t="str">
        <f>"100/1"</f>
        <v>100/1</v>
      </c>
      <c r="C23" s="10">
        <v>2.585</v>
      </c>
      <c r="D23" s="8">
        <f>((C23)*(H23)*(I23))/(G23*$F$7)</f>
        <v>221964.95724453614</v>
      </c>
      <c r="E23" s="8">
        <f>D23/10000</f>
        <v>22.196495724453616</v>
      </c>
      <c r="G23" s="11">
        <f>digestion_page!B18</f>
        <v>0.30730000000000002</v>
      </c>
      <c r="H23" s="11">
        <f>digestion_page!C18</f>
        <v>250</v>
      </c>
      <c r="I23" s="11">
        <f>(LEFT(B23,FIND("/",B23)-1)/RIGHT(B23,LEN(B23)-FIND("/", B23)))</f>
        <v>100</v>
      </c>
    </row>
    <row r="25" spans="1:9" x14ac:dyDescent="0.25">
      <c r="A25" s="19" t="s">
        <v>40</v>
      </c>
      <c r="B25" s="19"/>
      <c r="C25" s="12">
        <f>AVERAGE(D22:D23)</f>
        <v>217798.45072870213</v>
      </c>
    </row>
    <row r="26" spans="1:9" x14ac:dyDescent="0.25">
      <c r="A26" s="19" t="s">
        <v>40</v>
      </c>
      <c r="B26" s="19"/>
      <c r="C26" s="13">
        <f>AVERAGE(E22:E23)</f>
        <v>21.779845072870216</v>
      </c>
    </row>
    <row r="27" spans="1:9" x14ac:dyDescent="0.25">
      <c r="A27" s="19" t="s">
        <v>41</v>
      </c>
      <c r="B27" s="19"/>
      <c r="C27" s="9">
        <v>1.43</v>
      </c>
    </row>
    <row r="28" spans="1:9" x14ac:dyDescent="0.25">
      <c r="A28" s="22" t="s">
        <v>42</v>
      </c>
      <c r="B28" s="22"/>
      <c r="C28" s="23">
        <f>AVERAGE(E22:E23)*(C27)</f>
        <v>31.145178454204409</v>
      </c>
    </row>
    <row r="29" spans="1:9" x14ac:dyDescent="0.25">
      <c r="A29" s="19" t="s">
        <v>43</v>
      </c>
      <c r="B29" s="19"/>
      <c r="C29" s="20"/>
      <c r="D29" s="20"/>
      <c r="E29" s="20"/>
      <c r="F29" s="20"/>
    </row>
    <row r="31" spans="1:9" x14ac:dyDescent="0.25">
      <c r="A31" s="18" t="s">
        <v>44</v>
      </c>
      <c r="B31" s="18"/>
    </row>
    <row r="32" spans="1:9" x14ac:dyDescent="0.25">
      <c r="A32" s="3" t="s">
        <v>22</v>
      </c>
      <c r="B32" s="3" t="s">
        <v>29</v>
      </c>
      <c r="C32" s="3" t="s">
        <v>30</v>
      </c>
      <c r="D32" s="3" t="s">
        <v>45</v>
      </c>
      <c r="E32" s="3" t="s">
        <v>46</v>
      </c>
    </row>
    <row r="33" spans="1:9" x14ac:dyDescent="0.25">
      <c r="A33" s="3" t="s">
        <v>19</v>
      </c>
      <c r="B33" s="4" t="str">
        <f>"250/250"</f>
        <v>250/250</v>
      </c>
      <c r="C33" s="10">
        <v>8.1199999999999992</v>
      </c>
      <c r="D33" s="8">
        <f>((C33)*(H33)*(I33))/(G33*$F$7)</f>
        <v>7008.8540889231881</v>
      </c>
      <c r="E33" s="8">
        <f>D33/10000</f>
        <v>0.70088540889231876</v>
      </c>
      <c r="G33" s="11">
        <f>digestion_page!B17</f>
        <v>0.30570000000000003</v>
      </c>
      <c r="H33" s="11">
        <f>digestion_page!C17</f>
        <v>250</v>
      </c>
      <c r="I33" s="11">
        <f>(LEFT(B33,FIND("/",B33)-1)/RIGHT(B33,LEN(B33)-FIND("/", B33)))</f>
        <v>1</v>
      </c>
    </row>
    <row r="34" spans="1:9" x14ac:dyDescent="0.25">
      <c r="A34" s="3" t="s">
        <v>20</v>
      </c>
      <c r="B34" s="4" t="str">
        <f>"250/250"</f>
        <v>250/250</v>
      </c>
      <c r="C34" s="10">
        <v>8.3699999999999992</v>
      </c>
      <c r="D34" s="8">
        <f>((C34)*(H34)*(I34))/(G34*$F$7)</f>
        <v>7187.0278225793718</v>
      </c>
      <c r="E34" s="8">
        <f>D34/10000</f>
        <v>0.71870278225793716</v>
      </c>
      <c r="G34" s="11">
        <f>digestion_page!B18</f>
        <v>0.30730000000000002</v>
      </c>
      <c r="H34" s="11">
        <f>digestion_page!C18</f>
        <v>250</v>
      </c>
      <c r="I34" s="11">
        <f>(LEFT(B34,FIND("/",B34)-1)/RIGHT(B34,LEN(B34)-FIND("/", B34)))</f>
        <v>1</v>
      </c>
    </row>
    <row r="36" spans="1:9" x14ac:dyDescent="0.25">
      <c r="A36" s="19" t="s">
        <v>47</v>
      </c>
      <c r="B36" s="19"/>
      <c r="C36" s="12">
        <f>AVERAGE(D33:D34)</f>
        <v>7097.9409557512799</v>
      </c>
    </row>
    <row r="37" spans="1:9" x14ac:dyDescent="0.25">
      <c r="A37" s="19" t="s">
        <v>47</v>
      </c>
      <c r="B37" s="19"/>
      <c r="C37" s="13">
        <f>AVERAGE(E33:E34)</f>
        <v>0.70979409557512796</v>
      </c>
    </row>
    <row r="38" spans="1:9" x14ac:dyDescent="0.25">
      <c r="A38" s="19" t="s">
        <v>48</v>
      </c>
      <c r="B38" s="19"/>
      <c r="C38" s="9">
        <v>1.2050000000000001</v>
      </c>
    </row>
    <row r="39" spans="1:9" x14ac:dyDescent="0.25">
      <c r="A39" s="22" t="s">
        <v>49</v>
      </c>
      <c r="B39" s="22"/>
      <c r="C39" s="23">
        <f>AVERAGE(E33:E34)*(C38)</f>
        <v>0.85530188516802919</v>
      </c>
    </row>
    <row r="40" spans="1:9" x14ac:dyDescent="0.25">
      <c r="A40" s="19" t="s">
        <v>50</v>
      </c>
      <c r="B40" s="19"/>
      <c r="C40" s="20"/>
      <c r="D40" s="20"/>
      <c r="E40" s="20"/>
      <c r="F40" s="20"/>
    </row>
    <row r="42" spans="1:9" x14ac:dyDescent="0.25">
      <c r="B42" s="6" t="s">
        <v>51</v>
      </c>
      <c r="C42" s="21"/>
      <c r="D42" s="21"/>
      <c r="E42" s="21"/>
      <c r="F42" s="21"/>
    </row>
    <row r="43" spans="1:9" x14ac:dyDescent="0.25">
      <c r="C43" s="21"/>
      <c r="D43" s="21"/>
      <c r="E43" s="21"/>
      <c r="F43" s="21"/>
    </row>
    <row r="44" spans="1:9" x14ac:dyDescent="0.25">
      <c r="C44" s="21"/>
      <c r="D44" s="21"/>
      <c r="E44" s="21"/>
      <c r="F44" s="21"/>
    </row>
  </sheetData>
  <mergeCells count="22">
    <mergeCell ref="C40:F40"/>
    <mergeCell ref="C42:F44"/>
    <mergeCell ref="A36:B36"/>
    <mergeCell ref="A37:B37"/>
    <mergeCell ref="A38:B38"/>
    <mergeCell ref="A39:B39"/>
    <mergeCell ref="A40:B40"/>
    <mergeCell ref="A27:B27"/>
    <mergeCell ref="A28:B28"/>
    <mergeCell ref="A29:B29"/>
    <mergeCell ref="C29:F29"/>
    <mergeCell ref="A31:B31"/>
    <mergeCell ref="A18:B18"/>
    <mergeCell ref="C18:F18"/>
    <mergeCell ref="A20:B20"/>
    <mergeCell ref="A25:B25"/>
    <mergeCell ref="A26:B26"/>
    <mergeCell ref="A9:B9"/>
    <mergeCell ref="A14:B14"/>
    <mergeCell ref="A15:B15"/>
    <mergeCell ref="A16:B16"/>
    <mergeCell ref="A17:B17"/>
  </mergeCells>
  <conditionalFormatting sqref="B5">
    <cfRule type="containsBlanks" dxfId="3" priority="1">
      <formula>LEN(TRIM(B5))=0</formula>
    </cfRule>
  </conditionalFormatting>
  <conditionalFormatting sqref="C18:F18">
    <cfRule type="containsBlanks" dxfId="2" priority="2">
      <formula>LEN(TRIM(C18))=0</formula>
    </cfRule>
  </conditionalFormatting>
  <conditionalFormatting sqref="C29:F29">
    <cfRule type="containsBlanks" dxfId="1" priority="3">
      <formula>LEN(TRIM(C29))=0</formula>
    </cfRule>
  </conditionalFormatting>
  <conditionalFormatting sqref="C40:F40">
    <cfRule type="containsBlanks" dxfId="0" priority="4">
      <formula>LEN(TRIM(C40))=0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3"/>
  <sheetViews>
    <sheetView workbookViewId="0"/>
  </sheetViews>
  <sheetFormatPr defaultRowHeight="15" x14ac:dyDescent="0.25"/>
  <cols>
    <col min="1" max="1" width="46.140625" bestFit="1" customWidth="1"/>
  </cols>
  <sheetData>
    <row r="1" spans="1:1" x14ac:dyDescent="0.25">
      <c r="A1" s="14" t="s">
        <v>52</v>
      </c>
    </row>
    <row r="2" spans="1:1" x14ac:dyDescent="0.25">
      <c r="A2" s="14" t="s">
        <v>53</v>
      </c>
    </row>
    <row r="3" spans="1:1" x14ac:dyDescent="0.25">
      <c r="A3" s="14" t="s">
        <v>54</v>
      </c>
    </row>
    <row r="5" spans="1:1" x14ac:dyDescent="0.25">
      <c r="A5" s="14" t="s">
        <v>55</v>
      </c>
    </row>
    <row r="7" spans="1:1" x14ac:dyDescent="0.25">
      <c r="A7" s="14" t="s">
        <v>56</v>
      </c>
    </row>
    <row r="9" spans="1:1" x14ac:dyDescent="0.25">
      <c r="A9" s="14" t="s">
        <v>57</v>
      </c>
    </row>
    <row r="11" spans="1:1" x14ac:dyDescent="0.25">
      <c r="A11" s="14" t="s">
        <v>58</v>
      </c>
    </row>
    <row r="13" spans="1:1" x14ac:dyDescent="0.25">
      <c r="A13" s="14" t="s">
        <v>59</v>
      </c>
    </row>
    <row r="15" spans="1:1" x14ac:dyDescent="0.25">
      <c r="A15" s="14" t="s">
        <v>60</v>
      </c>
    </row>
    <row r="17" spans="1:1" x14ac:dyDescent="0.25">
      <c r="A17" s="14" t="s">
        <v>61</v>
      </c>
    </row>
    <row r="19" spans="1:1" x14ac:dyDescent="0.25">
      <c r="A19" s="14" t="s">
        <v>62</v>
      </c>
    </row>
    <row r="21" spans="1:1" x14ac:dyDescent="0.25">
      <c r="A21" s="14" t="s">
        <v>63</v>
      </c>
    </row>
    <row r="23" spans="1:1" x14ac:dyDescent="0.25">
      <c r="A23" s="14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digestion_page</vt:lpstr>
      <vt:lpstr>200127929</vt:lpstr>
      <vt:lpstr>formula_page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Carl Archemetre</cp:lastModifiedBy>
  <dcterms:created xsi:type="dcterms:W3CDTF">2026-05-11T14:28:47Z</dcterms:created>
  <dcterms:modified xsi:type="dcterms:W3CDTF">2026-05-11T15:53:26Z</dcterms:modified>
</cp:coreProperties>
</file>