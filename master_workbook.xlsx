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11" sheetId="2" r:id="rId2"/>
    <sheet name="200126512" sheetId="3" r:id="rId3"/>
    <sheet name="200126513" sheetId="4" r:id="rId4"/>
    <sheet name="formula_page" sheetId="5" r:id="rId5"/>
  </sheets>
  <calcPr calcId="124519" fullCalcOnLoad="1"/>
</workbook>
</file>

<file path=xl/sharedStrings.xml><?xml version="1.0" encoding="utf-8"?>
<sst xmlns="http://schemas.openxmlformats.org/spreadsheetml/2006/main" count="247" uniqueCount="78">
  <si>
    <t>Date:</t>
  </si>
  <si>
    <t>Request ID:</t>
  </si>
  <si>
    <t>TEST</t>
  </si>
  <si>
    <t>Microwave</t>
  </si>
  <si>
    <t>Element(s)</t>
  </si>
  <si>
    <t>Ca, Y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</si>
  <si>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</si>
  <si>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</si>
  <si>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</si>
  <si>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</si>
  <si>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</si>
  <si>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</si>
  <si>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</si>
  <si>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</si>
  <si>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</si>
  <si>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</si>
  <si>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</si>
  <si>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</si>
  <si>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</si>
  <si>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</si>
  <si>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</si>
  <si>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</si>
  <si>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</si>
  <si>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200126513_1</t>
  </si>
  <si>
    <t>200126513_2</t>
  </si>
  <si>
    <t>Hotplate</t>
  </si>
  <si>
    <t>Cr2o3, cr6, cr3</t>
  </si>
  <si>
    <t>Cocktail</t>
  </si>
  <si>
    <t>LOI temp:</t>
  </si>
  <si>
    <t>sample</t>
  </si>
  <si>
    <t>crucible (g)</t>
  </si>
  <si>
    <t>crucible + sample (g)</t>
  </si>
  <si>
    <t>LOI (%)</t>
  </si>
  <si>
    <t>correction</t>
  </si>
  <si>
    <t>200126511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</si>
  <si>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</si>
  <si>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</si>
  <si>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</si>
  <si>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</si>
  <si>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</si>
  <si>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</si>
  <si>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</si>
  <si>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</si>
  <si>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</si>
  <si>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Y ICP analysis</t>
  </si>
  <si>
    <t>Y_ppm [dried]</t>
  </si>
  <si>
    <t>%Y [dried]</t>
  </si>
  <si>
    <t>y result:</t>
  </si>
  <si>
    <t>y oxide factor:</t>
  </si>
  <si>
    <t>y oxide result:</t>
  </si>
  <si>
    <t>y lot:</t>
  </si>
  <si>
    <t>Cr2o3 titration analysis</t>
  </si>
  <si>
    <t>titrant_volume (mL)</t>
  </si>
  <si>
    <t>%Cr2o3 [dried]</t>
  </si>
  <si>
    <t>FAS:</t>
  </si>
  <si>
    <t>cr2o3 result:</t>
  </si>
  <si>
    <t>cr6 titration analysis</t>
  </si>
  <si>
    <t>%cr6 [dried]</t>
  </si>
  <si>
    <t>cr6 result:</t>
  </si>
  <si>
    <t>cr3 titration analysis</t>
  </si>
  <si>
    <t>cr3 result:</t>
  </si>
  <si>
    <t>Manufacturer: Assurance, 28-35CAY exp: 2026-10-30</t>
  </si>
  <si>
    <t>Note(s):</t>
  </si>
  <si>
    <t>200126512</t>
  </si>
  <si>
    <t>200126513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</si>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</sst>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8">
    <numFmt numFmtId="164" formatCode="yyyy-mm-dd"/>
    <numFmt numFmtId="165" formatCode="0.0000"/>
    <numFmt numFmtId="166" formatCode="######&quot; °C&quot;"/>
    <numFmt numFmtId="167" formatCode="0.00"/>
    <numFmt numFmtId="168" formatCode="0.000"/>
    <numFmt numFmtId="169" formatCode="0.00&quot; ppm&quot;"/>
    <numFmt numFmtId="170" formatCode="0.00&quot; %&quot;"/>
    <numFmt numFmtId="171" formatCode="0.000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167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169" fontId="0" fillId="0" borderId="0" xfId="0" applyNumberFormat="1" applyAlignment="1">
      <alignment horizontal="left"/>
    </xf>
    <xf numFmtId="170" fontId="0" fillId="0" borderId="0" xfId="0" applyNumberFormat="1" applyAlignment="1">
      <alignment horizontal="left"/>
    </xf>
    <xf numFmtId="0" fontId="3" fillId="0" borderId="0" xfId="0" applyFont="1"/>
    <xf numFmtId="171" fontId="0" fillId="0" borderId="1" xfId="0" applyNumberFormat="1" applyBorder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/>
  </sheetViews>
  <sheetFormatPr defaultRowHeight="15"/>
  <cols>
    <col min="1" max="1" width="12.28515625" bestFit="1" customWidth="1"/>
    <col min="2" max="2" width="13.140625" bestFit="1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46163</v>
      </c>
    </row>
    <row r="2" spans="1:5">
      <c r="A2" s="1" t="s">
        <v>1</v>
      </c>
      <c r="B2" s="3" t="s">
        <v>2</v>
      </c>
    </row>
    <row r="5" spans="1:5">
      <c r="A5" s="4" t="s">
        <v>3</v>
      </c>
      <c r="B5" s="4"/>
      <c r="C5" s="4"/>
      <c r="D5" s="4"/>
      <c r="E5" s="4"/>
    </row>
    <row r="6" spans="1:5">
      <c r="A6" s="5" t="s">
        <v>4</v>
      </c>
      <c r="B6" s="6" t="s">
        <v>5</v>
      </c>
      <c r="C6" s="6"/>
      <c r="D6" s="6"/>
      <c r="E6" s="6"/>
    </row>
    <row r="7" spans="1:5">
      <c r="A7" s="5" t="s">
        <v>6</v>
      </c>
      <c r="B7" s="6"/>
      <c r="C7" s="6"/>
      <c r="D7" s="6"/>
      <c r="E7" s="6"/>
    </row>
    <row r="8" spans="1:5">
      <c r="A8" s="5" t="s">
        <v>7</v>
      </c>
      <c r="B8" s="6"/>
      <c r="C8" s="6"/>
      <c r="D8" s="6"/>
      <c r="E8" s="6"/>
    </row>
    <row r="9" spans="1:5">
      <c r="A9" s="5" t="s">
        <v>8</v>
      </c>
      <c r="B9" s="7"/>
      <c r="C9" s="7"/>
      <c r="D9" s="7"/>
      <c r="E9" s="7"/>
    </row>
    <row r="10" spans="1:5">
      <c r="A10" s="5" t="s">
        <v>9</v>
      </c>
      <c r="B10" s="6"/>
      <c r="C10" s="6"/>
      <c r="D10" s="6"/>
      <c r="E10" s="6"/>
    </row>
    <row r="11" spans="1:5">
      <c r="A11" s="5" t="s">
        <v>10</v>
      </c>
      <c r="B11" s="7"/>
      <c r="C11" s="7"/>
      <c r="D11" s="7"/>
      <c r="E11" s="7"/>
    </row>
    <row r="12" spans="1:5">
      <c r="A12" s="5" t="s">
        <v>11</v>
      </c>
      <c r="B12" s="5" t="s">
        <v>12</v>
      </c>
      <c r="C12" s="5" t="s">
        <v>13</v>
      </c>
      <c r="D12" s="5" t="s">
        <v>14</v>
      </c>
      <c r="E12" s="5" t="s">
        <v>15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16</v>
      </c>
      <c r="B16" s="5" t="s">
        <v>17</v>
      </c>
      <c r="C16" s="5" t="s">
        <v>18</v>
      </c>
    </row>
    <row r="17" spans="1:3">
      <c r="A17" s="5" t="s">
        <v>19</v>
      </c>
      <c r="B17" s="8"/>
      <c r="C17" s="6"/>
    </row>
    <row r="18" spans="1:3">
      <c r="A18" s="5" t="s">
        <v>20</v>
      </c>
      <c r="B18" s="8"/>
      <c r="C18" s="6"/>
    </row>
    <row r="19" spans="1:3">
      <c r="A19" s="5" t="s">
        <v>21</v>
      </c>
      <c r="B19" s="8"/>
      <c r="C19" s="6"/>
    </row>
    <row r="20" spans="1:3">
      <c r="A20" s="5" t="s">
        <v>22</v>
      </c>
      <c r="B20" s="8"/>
      <c r="C20" s="6"/>
    </row>
    <row r="21" spans="1:3">
      <c r="A21" s="5" t="s">
        <v>23</v>
      </c>
      <c r="B21" s="8"/>
      <c r="C21" s="6"/>
    </row>
    <row r="22" spans="1:3">
      <c r="A22" s="5" t="s">
        <v>24</v>
      </c>
      <c r="B22" s="8"/>
      <c r="C22" s="6"/>
    </row>
    <row r="25" spans="1:3">
      <c r="A25" s="4" t="s">
        <v>25</v>
      </c>
      <c r="B25" s="4"/>
      <c r="C25" s="4"/>
    </row>
    <row r="26" spans="1:3">
      <c r="A26" s="5" t="s">
        <v>4</v>
      </c>
      <c r="B26" s="6" t="s">
        <v>26</v>
      </c>
      <c r="C26" s="6"/>
    </row>
    <row r="27" spans="1:3">
      <c r="A27" s="5" t="s">
        <v>6</v>
      </c>
      <c r="B27" s="6"/>
      <c r="C27" s="6"/>
    </row>
    <row r="28" spans="1:3">
      <c r="A28" s="5" t="s">
        <v>27</v>
      </c>
      <c r="B28" s="6"/>
      <c r="C28" s="6"/>
    </row>
    <row r="29" spans="1:3">
      <c r="A29" s="5" t="s">
        <v>16</v>
      </c>
      <c r="B29" s="5" t="s">
        <v>17</v>
      </c>
      <c r="C29" s="5" t="s">
        <v>18</v>
      </c>
    </row>
    <row r="30" spans="1:3">
      <c r="A30" s="5" t="s">
        <v>19</v>
      </c>
      <c r="B30" s="8"/>
      <c r="C30" s="6"/>
    </row>
    <row r="31" spans="1:3">
      <c r="A31" s="5" t="s">
        <v>20</v>
      </c>
      <c r="B31" s="8"/>
      <c r="C31" s="6"/>
    </row>
    <row r="32" spans="1:3">
      <c r="A32" s="5" t="s">
        <v>21</v>
      </c>
      <c r="B32" s="8"/>
      <c r="C32" s="6"/>
    </row>
    <row r="33" spans="1:3">
      <c r="A33" s="5" t="s">
        <v>22</v>
      </c>
      <c r="B33" s="8"/>
      <c r="C33" s="6"/>
    </row>
    <row r="34" spans="1:3">
      <c r="A34" s="5" t="s">
        <v>23</v>
      </c>
      <c r="B34" s="8"/>
      <c r="C34" s="6"/>
    </row>
    <row r="35" spans="1:3">
      <c r="A35" s="5" t="s">
        <v>24</v>
      </c>
      <c r="B35" s="8"/>
      <c r="C35" s="6"/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5:C25"/>
    <mergeCell ref="B26:C26"/>
    <mergeCell ref="B27:C27"/>
    <mergeCell ref="B28:C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8"/>
  <sheetViews>
    <sheetView workbookViewId="0"/>
  </sheetViews>
  <sheetFormatPr defaultRowHeight="15"/>
  <cols>
    <col min="1" max="1" width="21.140625" bestFit="1" customWidth="1"/>
    <col min="2" max="2" width="14.14062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</cols>
  <sheetData>
    <row r="1" spans="1:9">
      <c r="A1" s="1" t="s">
        <v>0</v>
      </c>
      <c r="B1" s="2">
        <v>46163</v>
      </c>
    </row>
    <row r="2" spans="1:9">
      <c r="A2" s="1" t="s">
        <v>1</v>
      </c>
      <c r="B2" s="3" t="s">
        <v>2</v>
      </c>
    </row>
    <row r="5" spans="1:9">
      <c r="A5" s="9" t="s">
        <v>28</v>
      </c>
      <c r="B5" s="10"/>
    </row>
    <row r="6" spans="1:9">
      <c r="A6" s="5" t="s">
        <v>29</v>
      </c>
      <c r="B6" s="5" t="s">
        <v>30</v>
      </c>
      <c r="C6" s="5" t="s">
        <v>31</v>
      </c>
      <c r="D6" s="5">
        <f>"after "&amp;B5&amp;" °C"</f>
        <v>0</v>
      </c>
      <c r="E6" s="5" t="s">
        <v>32</v>
      </c>
      <c r="F6" s="5" t="s">
        <v>33</v>
      </c>
    </row>
    <row r="7" spans="1:9">
      <c r="A7" s="5" t="s">
        <v>34</v>
      </c>
      <c r="B7" s="6"/>
      <c r="C7" s="6"/>
      <c r="D7" s="6"/>
      <c r="E7" s="11">
        <f>(((C7-B7)-(D7-B7))/(C7-B7))*100</f>
        <v>0</v>
      </c>
      <c r="F7" s="8">
        <f>1-(E7/100)</f>
        <v>0</v>
      </c>
    </row>
    <row r="9" spans="1:9">
      <c r="A9" s="3" t="s">
        <v>35</v>
      </c>
      <c r="B9" s="3"/>
    </row>
    <row r="10" spans="1:9">
      <c r="A10" s="5" t="s">
        <v>29</v>
      </c>
      <c r="B10" s="5" t="s">
        <v>36</v>
      </c>
      <c r="C10" s="5" t="s">
        <v>37</v>
      </c>
      <c r="D10" s="5" t="s">
        <v>38</v>
      </c>
      <c r="E10" s="5" t="s">
        <v>39</v>
      </c>
    </row>
    <row r="11" spans="1:9">
      <c r="A11" s="5" t="s">
        <v>19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digestion_page!B17</f>
        <v>0</v>
      </c>
      <c r="H11" s="13">
        <f>digestion_page!C17</f>
        <v>0</v>
      </c>
      <c r="I11" s="13">
        <f>(LEFT(B11,FIND("/",B11)-1)/RIGHT(B11,LEN(B11)-FIND("/", B11)))</f>
        <v>0</v>
      </c>
    </row>
    <row r="12" spans="1:9">
      <c r="A12" s="5" t="s">
        <v>20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digestion_page!B18</f>
        <v>0</v>
      </c>
      <c r="H12" s="13">
        <f>digestion_page!C18</f>
        <v>0</v>
      </c>
      <c r="I12" s="13">
        <f>(LEFT(B12,FIND("/",B12)-1)/RIGHT(B12,LEN(B12)-FIND("/", B12)))</f>
        <v>0</v>
      </c>
    </row>
    <row r="14" spans="1:9">
      <c r="A14" s="9" t="s">
        <v>40</v>
      </c>
      <c r="B14" s="9"/>
      <c r="C14" s="14">
        <f>AVERAGE(D11:D12)</f>
        <v>0</v>
      </c>
    </row>
    <row r="15" spans="1:9">
      <c r="A15" s="9" t="s">
        <v>40</v>
      </c>
      <c r="B15" s="9"/>
      <c r="C15" s="15">
        <f>AVERAGE(E11:E12)</f>
        <v>0</v>
      </c>
    </row>
    <row r="16" spans="1:9">
      <c r="A16" s="9" t="s">
        <v>41</v>
      </c>
      <c r="B16" s="9"/>
      <c r="C16" s="3"/>
    </row>
    <row r="17" spans="1:9">
      <c r="A17" s="9" t="s">
        <v>42</v>
      </c>
      <c r="B17" s="9"/>
      <c r="C17" s="15">
        <f>AVERAGE(E11:E12)*(C16)</f>
        <v>0</v>
      </c>
    </row>
    <row r="18" spans="1:9">
      <c r="A18" s="9" t="s">
        <v>43</v>
      </c>
      <c r="B18" s="9"/>
      <c r="C18" t="s">
        <v>61</v>
      </c>
      <c r="D18" s="16"/>
      <c r="E18" s="16"/>
      <c r="F18" s="16"/>
    </row>
    <row r="20" spans="1:9">
      <c r="A20" s="3" t="s">
        <v>44</v>
      </c>
      <c r="B20" s="3"/>
    </row>
    <row r="21" spans="1:9">
      <c r="A21" s="5" t="s">
        <v>29</v>
      </c>
      <c r="B21" s="5" t="s">
        <v>36</v>
      </c>
      <c r="C21" s="5" t="s">
        <v>37</v>
      </c>
      <c r="D21" s="5" t="s">
        <v>45</v>
      </c>
      <c r="E21" s="5" t="s">
        <v>46</v>
      </c>
    </row>
    <row r="22" spans="1:9">
      <c r="A22" s="5" t="s">
        <v>19</v>
      </c>
      <c r="B22" s="6">
        <f>"1/1"</f>
        <v>0</v>
      </c>
      <c r="C22" s="12"/>
      <c r="D22" s="11">
        <f>((C22)*(H22)*(I22))/(G22*$F$7)</f>
        <v>0</v>
      </c>
      <c r="E22" s="11">
        <f>D22/10000</f>
        <v>0</v>
      </c>
      <c r="G22" s="13">
        <f>digestion_page!B17</f>
        <v>0</v>
      </c>
      <c r="H22" s="13">
        <f>digestion_page!C17</f>
        <v>0</v>
      </c>
      <c r="I22" s="13">
        <f>(LEFT(B22,FIND("/",B22)-1)/RIGHT(B22,LEN(B22)-FIND("/", B22)))</f>
        <v>0</v>
      </c>
    </row>
    <row r="23" spans="1:9">
      <c r="A23" s="5" t="s">
        <v>20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digestion_page!B18</f>
        <v>0</v>
      </c>
      <c r="H23" s="13">
        <f>digestion_page!C18</f>
        <v>0</v>
      </c>
      <c r="I23" s="13">
        <f>(LEFT(B23,FIND("/",B23)-1)/RIGHT(B23,LEN(B23)-FIND("/", B23)))</f>
        <v>0</v>
      </c>
    </row>
    <row r="25" spans="1:9">
      <c r="A25" s="9" t="s">
        <v>47</v>
      </c>
      <c r="B25" s="9"/>
      <c r="C25" s="14">
        <f>AVERAGE(D22:D23)</f>
        <v>0</v>
      </c>
    </row>
    <row r="26" spans="1:9">
      <c r="A26" s="9" t="s">
        <v>47</v>
      </c>
      <c r="B26" s="9"/>
      <c r="C26" s="15">
        <f>AVERAGE(E22:E23)</f>
        <v>0</v>
      </c>
    </row>
    <row r="27" spans="1:9">
      <c r="A27" s="9" t="s">
        <v>48</v>
      </c>
      <c r="B27" s="9"/>
      <c r="C27" s="3"/>
    </row>
    <row r="28" spans="1:9">
      <c r="A28" s="9" t="s">
        <v>49</v>
      </c>
      <c r="B28" s="9"/>
      <c r="C28" s="15">
        <f>AVERAGE(E22:E23)*(C27)</f>
        <v>0</v>
      </c>
    </row>
    <row r="29" spans="1:9">
      <c r="A29" s="9" t="s">
        <v>50</v>
      </c>
      <c r="B29" s="9"/>
      <c r="C29" s="16"/>
      <c r="D29" s="16"/>
      <c r="E29" s="16"/>
      <c r="F29" s="16"/>
    </row>
    <row r="31" spans="1:9">
      <c r="A31" s="3" t="s">
        <v>51</v>
      </c>
      <c r="B31" s="3"/>
    </row>
    <row r="32" spans="1:9">
      <c r="A32" s="5" t="s">
        <v>29</v>
      </c>
      <c r="B32" s="5" t="s">
        <v>17</v>
      </c>
      <c r="C32" s="5" t="s">
        <v>52</v>
      </c>
      <c r="D32" s="5" t="s">
        <v>53</v>
      </c>
    </row>
    <row r="33" spans="1:7">
      <c r="A33" s="5" t="s">
        <v>19</v>
      </c>
      <c r="B33" s="8">
        <f>G33</f>
        <v>0</v>
      </c>
      <c r="C33" s="17"/>
      <c r="D33" s="12"/>
      <c r="G33" s="13">
        <f>digestion_page!B30</f>
        <v>0</v>
      </c>
    </row>
    <row r="34" spans="1:7">
      <c r="A34" s="5" t="s">
        <v>20</v>
      </c>
      <c r="B34" s="8">
        <f>G34</f>
        <v>0</v>
      </c>
      <c r="C34" s="17"/>
      <c r="D34" s="12"/>
      <c r="G34" s="13">
        <f>digestion_page!B31</f>
        <v>0</v>
      </c>
    </row>
    <row r="36" spans="1:7">
      <c r="A36" s="9" t="s">
        <v>54</v>
      </c>
      <c r="B36" s="9"/>
      <c r="C36" s="3"/>
    </row>
    <row r="37" spans="1:7">
      <c r="A37" s="9" t="s">
        <v>55</v>
      </c>
      <c r="B37" s="9"/>
      <c r="C37" s="14">
        <f>AVERAGE(D33:D34)*(10000)*(1/$F$7)</f>
        <v>0</v>
      </c>
    </row>
    <row r="38" spans="1:7">
      <c r="A38" s="9" t="s">
        <v>55</v>
      </c>
      <c r="B38" s="9"/>
      <c r="C38" s="15">
        <f>AVERAGE(D33:D34)*(1/$F$7)</f>
        <v>0</v>
      </c>
    </row>
    <row r="40" spans="1:7">
      <c r="A40" s="3" t="s">
        <v>56</v>
      </c>
      <c r="B40" s="3"/>
    </row>
    <row r="41" spans="1:7">
      <c r="A41" s="5" t="s">
        <v>29</v>
      </c>
      <c r="B41" s="5" t="s">
        <v>17</v>
      </c>
      <c r="C41" s="5" t="s">
        <v>52</v>
      </c>
      <c r="D41" s="5" t="s">
        <v>57</v>
      </c>
    </row>
    <row r="42" spans="1:7">
      <c r="A42" s="5" t="s">
        <v>19</v>
      </c>
      <c r="B42" s="8">
        <f>G42</f>
        <v>0</v>
      </c>
      <c r="C42" s="17"/>
      <c r="D42" s="12"/>
      <c r="G42" s="13">
        <f>digestion_page!B30</f>
        <v>0</v>
      </c>
    </row>
    <row r="43" spans="1:7">
      <c r="A43" s="5" t="s">
        <v>20</v>
      </c>
      <c r="B43" s="8">
        <f>G43</f>
        <v>0</v>
      </c>
      <c r="C43" s="17"/>
      <c r="D43" s="12"/>
      <c r="G43" s="13">
        <f>digestion_page!B31</f>
        <v>0</v>
      </c>
    </row>
    <row r="45" spans="1:7">
      <c r="A45" s="9" t="s">
        <v>54</v>
      </c>
      <c r="B45" s="9"/>
      <c r="C45" s="3"/>
    </row>
    <row r="46" spans="1:7">
      <c r="A46" s="9" t="s">
        <v>58</v>
      </c>
      <c r="B46" s="9"/>
      <c r="C46" s="14">
        <f>AVERAGE(D42:D43)*(10000)*(1/$F$7)</f>
        <v>0</v>
      </c>
    </row>
    <row r="47" spans="1:7">
      <c r="A47" s="9" t="s">
        <v>58</v>
      </c>
      <c r="B47" s="9"/>
      <c r="C47" s="15">
        <f>AVERAGE(D42:D43)*(1/$F$7)</f>
        <v>0</v>
      </c>
    </row>
    <row r="49" spans="1:6">
      <c r="A49" s="3" t="s">
        <v>59</v>
      </c>
      <c r="B49" s="3"/>
    </row>
    <row r="50" spans="1:6">
      <c r="A50" s="5" t="s">
        <v>29</v>
      </c>
      <c r="B50" s="5" t="s">
        <v>53</v>
      </c>
      <c r="C50" s="5" t="s">
        <v>57</v>
      </c>
    </row>
    <row r="51" spans="1:6">
      <c r="A51" s="5" t="s">
        <v>34</v>
      </c>
      <c r="B51" s="12">
        <f>C38</f>
        <v>0</v>
      </c>
      <c r="C51" s="12">
        <f>C47</f>
        <v>0</v>
      </c>
    </row>
    <row r="53" spans="1:6">
      <c r="A53" s="9" t="s">
        <v>60</v>
      </c>
      <c r="B53" s="9"/>
      <c r="C53" s="14">
        <f>(C38-C47)*(10000)</f>
        <v>0</v>
      </c>
    </row>
    <row r="54" spans="1:6">
      <c r="A54" s="9" t="s">
        <v>60</v>
      </c>
      <c r="B54" s="9"/>
      <c r="C54" s="15">
        <f>(C38-C47)</f>
        <v>0</v>
      </c>
    </row>
    <row r="56" spans="1:6">
      <c r="B56" s="9" t="s">
        <v>62</v>
      </c>
      <c r="C56" s="18"/>
      <c r="D56" s="18"/>
      <c r="E56" s="18"/>
      <c r="F56" s="18"/>
    </row>
    <row r="57" spans="1:6">
      <c r="C57" s="18"/>
      <c r="D57" s="18"/>
      <c r="E57" s="18"/>
      <c r="F57" s="18"/>
    </row>
    <row r="58" spans="1:6">
      <c r="C58" s="18"/>
      <c r="D58" s="18"/>
      <c r="E58" s="18"/>
      <c r="F58" s="18"/>
    </row>
  </sheetData>
  <mergeCells count="26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40:B40"/>
    <mergeCell ref="A45:B45"/>
    <mergeCell ref="A46:B46"/>
    <mergeCell ref="A47:B47"/>
    <mergeCell ref="A49:B49"/>
    <mergeCell ref="A53:B53"/>
    <mergeCell ref="A54:B54"/>
    <mergeCell ref="C56:F58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36">
    <cfRule type="containsBlanks" dxfId="0" priority="4">
      <formula>LEN(TRIM(C36))=0</formula>
    </cfRule>
  </conditionalFormatting>
  <conditionalFormatting sqref="C45">
    <cfRule type="containsBlanks" dxfId="0" priority="5">
      <formula>LEN(TRIM(C45))=0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58"/>
  <sheetViews>
    <sheetView workbookViewId="0"/>
  </sheetViews>
  <sheetFormatPr defaultRowHeight="15"/>
  <cols>
    <col min="1" max="1" width="21.140625" bestFit="1" customWidth="1"/>
    <col min="2" max="2" width="14.14062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</cols>
  <sheetData>
    <row r="1" spans="1:9">
      <c r="A1" s="1" t="s">
        <v>0</v>
      </c>
      <c r="B1" s="2">
        <v>46163</v>
      </c>
    </row>
    <row r="2" spans="1:9">
      <c r="A2" s="1" t="s">
        <v>1</v>
      </c>
      <c r="B2" s="3" t="s">
        <v>2</v>
      </c>
    </row>
    <row r="5" spans="1:9">
      <c r="A5" s="9" t="s">
        <v>28</v>
      </c>
      <c r="B5" s="10"/>
    </row>
    <row r="6" spans="1:9">
      <c r="A6" s="5" t="s">
        <v>29</v>
      </c>
      <c r="B6" s="5" t="s">
        <v>30</v>
      </c>
      <c r="C6" s="5" t="s">
        <v>31</v>
      </c>
      <c r="D6" s="5">
        <f>"after "&amp;B5&amp;" °C"</f>
        <v>0</v>
      </c>
      <c r="E6" s="5" t="s">
        <v>32</v>
      </c>
      <c r="F6" s="5" t="s">
        <v>33</v>
      </c>
    </row>
    <row r="7" spans="1:9">
      <c r="A7" s="5" t="s">
        <v>63</v>
      </c>
      <c r="B7" s="6"/>
      <c r="C7" s="6"/>
      <c r="D7" s="6"/>
      <c r="E7" s="11">
        <f>(((C7-B7)-(D7-B7))/(C7-B7))*100</f>
        <v>0</v>
      </c>
      <c r="F7" s="8">
        <f>1-(E7/100)</f>
        <v>0</v>
      </c>
    </row>
    <row r="9" spans="1:9">
      <c r="A9" s="3" t="s">
        <v>35</v>
      </c>
      <c r="B9" s="3"/>
    </row>
    <row r="10" spans="1:9">
      <c r="A10" s="5" t="s">
        <v>29</v>
      </c>
      <c r="B10" s="5" t="s">
        <v>36</v>
      </c>
      <c r="C10" s="5" t="s">
        <v>37</v>
      </c>
      <c r="D10" s="5" t="s">
        <v>38</v>
      </c>
      <c r="E10" s="5" t="s">
        <v>39</v>
      </c>
    </row>
    <row r="11" spans="1:9">
      <c r="A11" s="5" t="s">
        <v>21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digestion_page!B19</f>
        <v>0</v>
      </c>
      <c r="H11" s="13">
        <f>digestion_page!C19</f>
        <v>0</v>
      </c>
      <c r="I11" s="13">
        <f>(LEFT(B11,FIND("/",B11)-1)/RIGHT(B11,LEN(B11)-FIND("/", B11)))</f>
        <v>0</v>
      </c>
    </row>
    <row r="12" spans="1:9">
      <c r="A12" s="5" t="s">
        <v>22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digestion_page!B20</f>
        <v>0</v>
      </c>
      <c r="H12" s="13">
        <f>digestion_page!C20</f>
        <v>0</v>
      </c>
      <c r="I12" s="13">
        <f>(LEFT(B12,FIND("/",B12)-1)/RIGHT(B12,LEN(B12)-FIND("/", B12)))</f>
        <v>0</v>
      </c>
    </row>
    <row r="14" spans="1:9">
      <c r="A14" s="9" t="s">
        <v>40</v>
      </c>
      <c r="B14" s="9"/>
      <c r="C14" s="14">
        <f>AVERAGE(D11:D12)</f>
        <v>0</v>
      </c>
    </row>
    <row r="15" spans="1:9">
      <c r="A15" s="9" t="s">
        <v>40</v>
      </c>
      <c r="B15" s="9"/>
      <c r="C15" s="15">
        <f>AVERAGE(E11:E12)</f>
        <v>0</v>
      </c>
    </row>
    <row r="16" spans="1:9">
      <c r="A16" s="9" t="s">
        <v>41</v>
      </c>
      <c r="B16" s="9"/>
      <c r="C16" s="3"/>
    </row>
    <row r="17" spans="1:9">
      <c r="A17" s="9" t="s">
        <v>42</v>
      </c>
      <c r="B17" s="9"/>
      <c r="C17" s="15">
        <f>AVERAGE(E11:E12)*(C16)</f>
        <v>0</v>
      </c>
    </row>
    <row r="18" spans="1:9">
      <c r="A18" s="9" t="s">
        <v>43</v>
      </c>
      <c r="B18" s="9"/>
      <c r="C18" t="s">
        <v>61</v>
      </c>
      <c r="D18" s="16"/>
      <c r="E18" s="16"/>
      <c r="F18" s="16"/>
    </row>
    <row r="20" spans="1:9">
      <c r="A20" s="3" t="s">
        <v>44</v>
      </c>
      <c r="B20" s="3"/>
    </row>
    <row r="21" spans="1:9">
      <c r="A21" s="5" t="s">
        <v>29</v>
      </c>
      <c r="B21" s="5" t="s">
        <v>36</v>
      </c>
      <c r="C21" s="5" t="s">
        <v>37</v>
      </c>
      <c r="D21" s="5" t="s">
        <v>45</v>
      </c>
      <c r="E21" s="5" t="s">
        <v>46</v>
      </c>
    </row>
    <row r="22" spans="1:9">
      <c r="A22" s="5" t="s">
        <v>21</v>
      </c>
      <c r="B22" s="6">
        <f>"1/1"</f>
        <v>0</v>
      </c>
      <c r="C22" s="12"/>
      <c r="D22" s="11">
        <f>((C22)*(H22)*(I22))/(G22*$F$7)</f>
        <v>0</v>
      </c>
      <c r="E22" s="11">
        <f>D22/10000</f>
        <v>0</v>
      </c>
      <c r="G22" s="13">
        <f>digestion_page!B19</f>
        <v>0</v>
      </c>
      <c r="H22" s="13">
        <f>digestion_page!C19</f>
        <v>0</v>
      </c>
      <c r="I22" s="13">
        <f>(LEFT(B22,FIND("/",B22)-1)/RIGHT(B22,LEN(B22)-FIND("/", B22)))</f>
        <v>0</v>
      </c>
    </row>
    <row r="23" spans="1:9">
      <c r="A23" s="5" t="s">
        <v>22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digestion_page!B20</f>
        <v>0</v>
      </c>
      <c r="H23" s="13">
        <f>digestion_page!C20</f>
        <v>0</v>
      </c>
      <c r="I23" s="13">
        <f>(LEFT(B23,FIND("/",B23)-1)/RIGHT(B23,LEN(B23)-FIND("/", B23)))</f>
        <v>0</v>
      </c>
    </row>
    <row r="25" spans="1:9">
      <c r="A25" s="9" t="s">
        <v>47</v>
      </c>
      <c r="B25" s="9"/>
      <c r="C25" s="14">
        <f>AVERAGE(D22:D23)</f>
        <v>0</v>
      </c>
    </row>
    <row r="26" spans="1:9">
      <c r="A26" s="9" t="s">
        <v>47</v>
      </c>
      <c r="B26" s="9"/>
      <c r="C26" s="15">
        <f>AVERAGE(E22:E23)</f>
        <v>0</v>
      </c>
    </row>
    <row r="27" spans="1:9">
      <c r="A27" s="9" t="s">
        <v>48</v>
      </c>
      <c r="B27" s="9"/>
      <c r="C27" s="3"/>
    </row>
    <row r="28" spans="1:9">
      <c r="A28" s="9" t="s">
        <v>49</v>
      </c>
      <c r="B28" s="9"/>
      <c r="C28" s="15">
        <f>AVERAGE(E22:E23)*(C27)</f>
        <v>0</v>
      </c>
    </row>
    <row r="29" spans="1:9">
      <c r="A29" s="9" t="s">
        <v>50</v>
      </c>
      <c r="B29" s="9"/>
      <c r="C29" s="16"/>
      <c r="D29" s="16"/>
      <c r="E29" s="16"/>
      <c r="F29" s="16"/>
    </row>
    <row r="31" spans="1:9">
      <c r="A31" s="3" t="s">
        <v>51</v>
      </c>
      <c r="B31" s="3"/>
    </row>
    <row r="32" spans="1:9">
      <c r="A32" s="5" t="s">
        <v>29</v>
      </c>
      <c r="B32" s="5" t="s">
        <v>17</v>
      </c>
      <c r="C32" s="5" t="s">
        <v>52</v>
      </c>
      <c r="D32" s="5" t="s">
        <v>53</v>
      </c>
    </row>
    <row r="33" spans="1:7">
      <c r="A33" s="5" t="s">
        <v>21</v>
      </c>
      <c r="B33" s="8">
        <f>G33</f>
        <v>0</v>
      </c>
      <c r="C33" s="17"/>
      <c r="D33" s="12"/>
      <c r="G33" s="13">
        <f>digestion_page!B32</f>
        <v>0</v>
      </c>
    </row>
    <row r="34" spans="1:7">
      <c r="A34" s="5" t="s">
        <v>22</v>
      </c>
      <c r="B34" s="8">
        <f>G34</f>
        <v>0</v>
      </c>
      <c r="C34" s="17"/>
      <c r="D34" s="12"/>
      <c r="G34" s="13">
        <f>digestion_page!B33</f>
        <v>0</v>
      </c>
    </row>
    <row r="36" spans="1:7">
      <c r="A36" s="9" t="s">
        <v>54</v>
      </c>
      <c r="B36" s="9"/>
      <c r="C36" s="3"/>
    </row>
    <row r="37" spans="1:7">
      <c r="A37" s="9" t="s">
        <v>55</v>
      </c>
      <c r="B37" s="9"/>
      <c r="C37" s="14">
        <f>AVERAGE(D33:D34)*(10000)*(1/$F$7)</f>
        <v>0</v>
      </c>
    </row>
    <row r="38" spans="1:7">
      <c r="A38" s="9" t="s">
        <v>55</v>
      </c>
      <c r="B38" s="9"/>
      <c r="C38" s="15">
        <f>AVERAGE(D33:D34)*(1/$F$7)</f>
        <v>0</v>
      </c>
    </row>
    <row r="40" spans="1:7">
      <c r="A40" s="3" t="s">
        <v>56</v>
      </c>
      <c r="B40" s="3"/>
    </row>
    <row r="41" spans="1:7">
      <c r="A41" s="5" t="s">
        <v>29</v>
      </c>
      <c r="B41" s="5" t="s">
        <v>17</v>
      </c>
      <c r="C41" s="5" t="s">
        <v>52</v>
      </c>
      <c r="D41" s="5" t="s">
        <v>57</v>
      </c>
    </row>
    <row r="42" spans="1:7">
      <c r="A42" s="5" t="s">
        <v>21</v>
      </c>
      <c r="B42" s="8">
        <f>G42</f>
        <v>0</v>
      </c>
      <c r="C42" s="17"/>
      <c r="D42" s="12"/>
      <c r="G42" s="13">
        <f>digestion_page!B32</f>
        <v>0</v>
      </c>
    </row>
    <row r="43" spans="1:7">
      <c r="A43" s="5" t="s">
        <v>22</v>
      </c>
      <c r="B43" s="8">
        <f>G43</f>
        <v>0</v>
      </c>
      <c r="C43" s="17"/>
      <c r="D43" s="12"/>
      <c r="G43" s="13">
        <f>digestion_page!B33</f>
        <v>0</v>
      </c>
    </row>
    <row r="45" spans="1:7">
      <c r="A45" s="9" t="s">
        <v>54</v>
      </c>
      <c r="B45" s="9"/>
      <c r="C45" s="3"/>
    </row>
    <row r="46" spans="1:7">
      <c r="A46" s="9" t="s">
        <v>58</v>
      </c>
      <c r="B46" s="9"/>
      <c r="C46" s="14">
        <f>AVERAGE(D42:D43)*(10000)*(1/$F$7)</f>
        <v>0</v>
      </c>
    </row>
    <row r="47" spans="1:7">
      <c r="A47" s="9" t="s">
        <v>58</v>
      </c>
      <c r="B47" s="9"/>
      <c r="C47" s="15">
        <f>AVERAGE(D42:D43)*(1/$F$7)</f>
        <v>0</v>
      </c>
    </row>
    <row r="49" spans="1:6">
      <c r="A49" s="3" t="s">
        <v>59</v>
      </c>
      <c r="B49" s="3"/>
    </row>
    <row r="50" spans="1:6">
      <c r="A50" s="5" t="s">
        <v>29</v>
      </c>
      <c r="B50" s="5" t="s">
        <v>53</v>
      </c>
      <c r="C50" s="5" t="s">
        <v>57</v>
      </c>
    </row>
    <row r="51" spans="1:6">
      <c r="A51" s="5" t="s">
        <v>63</v>
      </c>
      <c r="B51" s="12">
        <f>C38</f>
        <v>0</v>
      </c>
      <c r="C51" s="12">
        <f>C47</f>
        <v>0</v>
      </c>
    </row>
    <row r="53" spans="1:6">
      <c r="A53" s="9" t="s">
        <v>60</v>
      </c>
      <c r="B53" s="9"/>
      <c r="C53" s="14">
        <f>(C38-C47)*(10000)</f>
        <v>0</v>
      </c>
    </row>
    <row r="54" spans="1:6">
      <c r="A54" s="9" t="s">
        <v>60</v>
      </c>
      <c r="B54" s="9"/>
      <c r="C54" s="15">
        <f>(C38-C47)</f>
        <v>0</v>
      </c>
    </row>
    <row r="56" spans="1:6">
      <c r="B56" s="9" t="s">
        <v>62</v>
      </c>
      <c r="C56" s="18"/>
      <c r="D56" s="18"/>
      <c r="E56" s="18"/>
      <c r="F56" s="18"/>
    </row>
    <row r="57" spans="1:6">
      <c r="C57" s="18"/>
      <c r="D57" s="18"/>
      <c r="E57" s="18"/>
      <c r="F57" s="18"/>
    </row>
    <row r="58" spans="1:6">
      <c r="C58" s="18"/>
      <c r="D58" s="18"/>
      <c r="E58" s="18"/>
      <c r="F58" s="18"/>
    </row>
  </sheetData>
  <mergeCells count="26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40:B40"/>
    <mergeCell ref="A45:B45"/>
    <mergeCell ref="A46:B46"/>
    <mergeCell ref="A47:B47"/>
    <mergeCell ref="A49:B49"/>
    <mergeCell ref="A53:B53"/>
    <mergeCell ref="A54:B54"/>
    <mergeCell ref="C56:F58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36">
    <cfRule type="containsBlanks" dxfId="0" priority="4">
      <formula>LEN(TRIM(C36))=0</formula>
    </cfRule>
  </conditionalFormatting>
  <conditionalFormatting sqref="C45">
    <cfRule type="containsBlanks" dxfId="0" priority="5">
      <formula>LEN(TRIM(C45))=0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58"/>
  <sheetViews>
    <sheetView workbookViewId="0"/>
  </sheetViews>
  <sheetFormatPr defaultRowHeight="15"/>
  <cols>
    <col min="1" max="1" width="21.140625" bestFit="1" customWidth="1"/>
    <col min="2" max="2" width="14.140625" bestFit="1" customWidth="1"/>
    <col min="3" max="3" width="19.140625" bestFit="1" customWidth="1"/>
    <col min="4" max="4" width="14.7109375" bestFit="1" customWidth="1"/>
    <col min="5" max="5" width="11.28515625" bestFit="1" customWidth="1"/>
    <col min="6" max="6" width="10" bestFit="1" customWidth="1"/>
  </cols>
  <sheetData>
    <row r="1" spans="1:9">
      <c r="A1" s="1" t="s">
        <v>0</v>
      </c>
      <c r="B1" s="2">
        <v>46163</v>
      </c>
    </row>
    <row r="2" spans="1:9">
      <c r="A2" s="1" t="s">
        <v>1</v>
      </c>
      <c r="B2" s="3" t="s">
        <v>2</v>
      </c>
    </row>
    <row r="5" spans="1:9">
      <c r="A5" s="9" t="s">
        <v>28</v>
      </c>
      <c r="B5" s="10"/>
    </row>
    <row r="6" spans="1:9">
      <c r="A6" s="5" t="s">
        <v>29</v>
      </c>
      <c r="B6" s="5" t="s">
        <v>30</v>
      </c>
      <c r="C6" s="5" t="s">
        <v>31</v>
      </c>
      <c r="D6" s="5">
        <f>"after "&amp;B5&amp;" °C"</f>
        <v>0</v>
      </c>
      <c r="E6" s="5" t="s">
        <v>32</v>
      </c>
      <c r="F6" s="5" t="s">
        <v>33</v>
      </c>
    </row>
    <row r="7" spans="1:9">
      <c r="A7" s="5" t="s">
        <v>64</v>
      </c>
      <c r="B7" s="6"/>
      <c r="C7" s="6"/>
      <c r="D7" s="6"/>
      <c r="E7" s="11">
        <f>(((C7-B7)-(D7-B7))/(C7-B7))*100</f>
        <v>0</v>
      </c>
      <c r="F7" s="8">
        <f>1-(E7/100)</f>
        <v>0</v>
      </c>
    </row>
    <row r="9" spans="1:9">
      <c r="A9" s="3" t="s">
        <v>35</v>
      </c>
      <c r="B9" s="3"/>
    </row>
    <row r="10" spans="1:9">
      <c r="A10" s="5" t="s">
        <v>29</v>
      </c>
      <c r="B10" s="5" t="s">
        <v>36</v>
      </c>
      <c r="C10" s="5" t="s">
        <v>37</v>
      </c>
      <c r="D10" s="5" t="s">
        <v>38</v>
      </c>
      <c r="E10" s="5" t="s">
        <v>39</v>
      </c>
    </row>
    <row r="11" spans="1:9">
      <c r="A11" s="5" t="s">
        <v>23</v>
      </c>
      <c r="B11" s="6">
        <f>"1/1"</f>
        <v>0</v>
      </c>
      <c r="C11" s="12"/>
      <c r="D11" s="11">
        <f>((C11)*(H11)*(I11))/(G11*$F$7)</f>
        <v>0</v>
      </c>
      <c r="E11" s="11">
        <f>D11/10000</f>
        <v>0</v>
      </c>
      <c r="G11" s="13">
        <f>digestion_page!B21</f>
        <v>0</v>
      </c>
      <c r="H11" s="13">
        <f>digestion_page!C21</f>
        <v>0</v>
      </c>
      <c r="I11" s="13">
        <f>(LEFT(B11,FIND("/",B11)-1)/RIGHT(B11,LEN(B11)-FIND("/", B11)))</f>
        <v>0</v>
      </c>
    </row>
    <row r="12" spans="1:9">
      <c r="A12" s="5" t="s">
        <v>24</v>
      </c>
      <c r="B12" s="6">
        <f>"1/1"</f>
        <v>0</v>
      </c>
      <c r="C12" s="12"/>
      <c r="D12" s="11">
        <f>((C12)*(H12)*(I12))/(G12*$F$7)</f>
        <v>0</v>
      </c>
      <c r="E12" s="11">
        <f>D12/10000</f>
        <v>0</v>
      </c>
      <c r="G12" s="13">
        <f>digestion_page!B22</f>
        <v>0</v>
      </c>
      <c r="H12" s="13">
        <f>digestion_page!C22</f>
        <v>0</v>
      </c>
      <c r="I12" s="13">
        <f>(LEFT(B12,FIND("/",B12)-1)/RIGHT(B12,LEN(B12)-FIND("/", B12)))</f>
        <v>0</v>
      </c>
    </row>
    <row r="14" spans="1:9">
      <c r="A14" s="9" t="s">
        <v>40</v>
      </c>
      <c r="B14" s="9"/>
      <c r="C14" s="14">
        <f>AVERAGE(D11:D12)</f>
        <v>0</v>
      </c>
    </row>
    <row r="15" spans="1:9">
      <c r="A15" s="9" t="s">
        <v>40</v>
      </c>
      <c r="B15" s="9"/>
      <c r="C15" s="15">
        <f>AVERAGE(E11:E12)</f>
        <v>0</v>
      </c>
    </row>
    <row r="16" spans="1:9">
      <c r="A16" s="9" t="s">
        <v>41</v>
      </c>
      <c r="B16" s="9"/>
      <c r="C16" s="3"/>
    </row>
    <row r="17" spans="1:9">
      <c r="A17" s="9" t="s">
        <v>42</v>
      </c>
      <c r="B17" s="9"/>
      <c r="C17" s="15">
        <f>AVERAGE(E11:E12)*(C16)</f>
        <v>0</v>
      </c>
    </row>
    <row r="18" spans="1:9">
      <c r="A18" s="9" t="s">
        <v>43</v>
      </c>
      <c r="B18" s="9"/>
      <c r="C18" t="s">
        <v>61</v>
      </c>
      <c r="D18" s="16"/>
      <c r="E18" s="16"/>
      <c r="F18" s="16"/>
    </row>
    <row r="20" spans="1:9">
      <c r="A20" s="3" t="s">
        <v>44</v>
      </c>
      <c r="B20" s="3"/>
    </row>
    <row r="21" spans="1:9">
      <c r="A21" s="5" t="s">
        <v>29</v>
      </c>
      <c r="B21" s="5" t="s">
        <v>36</v>
      </c>
      <c r="C21" s="5" t="s">
        <v>37</v>
      </c>
      <c r="D21" s="5" t="s">
        <v>45</v>
      </c>
      <c r="E21" s="5" t="s">
        <v>46</v>
      </c>
    </row>
    <row r="22" spans="1:9">
      <c r="A22" s="5" t="s">
        <v>23</v>
      </c>
      <c r="B22" s="6">
        <f>"1/1"</f>
        <v>0</v>
      </c>
      <c r="C22" s="12"/>
      <c r="D22" s="11">
        <f>((C22)*(H22)*(I22))/(G22*$F$7)</f>
        <v>0</v>
      </c>
      <c r="E22" s="11">
        <f>D22/10000</f>
        <v>0</v>
      </c>
      <c r="G22" s="13">
        <f>digestion_page!B21</f>
        <v>0</v>
      </c>
      <c r="H22" s="13">
        <f>digestion_page!C21</f>
        <v>0</v>
      </c>
      <c r="I22" s="13">
        <f>(LEFT(B22,FIND("/",B22)-1)/RIGHT(B22,LEN(B22)-FIND("/", B22)))</f>
        <v>0</v>
      </c>
    </row>
    <row r="23" spans="1:9">
      <c r="A23" s="5" t="s">
        <v>24</v>
      </c>
      <c r="B23" s="6">
        <f>"1/1"</f>
        <v>0</v>
      </c>
      <c r="C23" s="12"/>
      <c r="D23" s="11">
        <f>((C23)*(H23)*(I23))/(G23*$F$7)</f>
        <v>0</v>
      </c>
      <c r="E23" s="11">
        <f>D23/10000</f>
        <v>0</v>
      </c>
      <c r="G23" s="13">
        <f>digestion_page!B22</f>
        <v>0</v>
      </c>
      <c r="H23" s="13">
        <f>digestion_page!C22</f>
        <v>0</v>
      </c>
      <c r="I23" s="13">
        <f>(LEFT(B23,FIND("/",B23)-1)/RIGHT(B23,LEN(B23)-FIND("/", B23)))</f>
        <v>0</v>
      </c>
    </row>
    <row r="25" spans="1:9">
      <c r="A25" s="9" t="s">
        <v>47</v>
      </c>
      <c r="B25" s="9"/>
      <c r="C25" s="14">
        <f>AVERAGE(D22:D23)</f>
        <v>0</v>
      </c>
    </row>
    <row r="26" spans="1:9">
      <c r="A26" s="9" t="s">
        <v>47</v>
      </c>
      <c r="B26" s="9"/>
      <c r="C26" s="15">
        <f>AVERAGE(E22:E23)</f>
        <v>0</v>
      </c>
    </row>
    <row r="27" spans="1:9">
      <c r="A27" s="9" t="s">
        <v>48</v>
      </c>
      <c r="B27" s="9"/>
      <c r="C27" s="3"/>
    </row>
    <row r="28" spans="1:9">
      <c r="A28" s="9" t="s">
        <v>49</v>
      </c>
      <c r="B28" s="9"/>
      <c r="C28" s="15">
        <f>AVERAGE(E22:E23)*(C27)</f>
        <v>0</v>
      </c>
    </row>
    <row r="29" spans="1:9">
      <c r="A29" s="9" t="s">
        <v>50</v>
      </c>
      <c r="B29" s="9"/>
      <c r="C29" s="16"/>
      <c r="D29" s="16"/>
      <c r="E29" s="16"/>
      <c r="F29" s="16"/>
    </row>
    <row r="31" spans="1:9">
      <c r="A31" s="3" t="s">
        <v>51</v>
      </c>
      <c r="B31" s="3"/>
    </row>
    <row r="32" spans="1:9">
      <c r="A32" s="5" t="s">
        <v>29</v>
      </c>
      <c r="B32" s="5" t="s">
        <v>17</v>
      </c>
      <c r="C32" s="5" t="s">
        <v>52</v>
      </c>
      <c r="D32" s="5" t="s">
        <v>53</v>
      </c>
    </row>
    <row r="33" spans="1:7">
      <c r="A33" s="5" t="s">
        <v>23</v>
      </c>
      <c r="B33" s="8">
        <f>G33</f>
        <v>0</v>
      </c>
      <c r="C33" s="17"/>
      <c r="D33" s="12"/>
      <c r="G33" s="13">
        <f>digestion_page!B34</f>
        <v>0</v>
      </c>
    </row>
    <row r="34" spans="1:7">
      <c r="A34" s="5" t="s">
        <v>24</v>
      </c>
      <c r="B34" s="8">
        <f>G34</f>
        <v>0</v>
      </c>
      <c r="C34" s="17"/>
      <c r="D34" s="12"/>
      <c r="G34" s="13">
        <f>digestion_page!B35</f>
        <v>0</v>
      </c>
    </row>
    <row r="36" spans="1:7">
      <c r="A36" s="9" t="s">
        <v>54</v>
      </c>
      <c r="B36" s="9"/>
      <c r="C36" s="3"/>
    </row>
    <row r="37" spans="1:7">
      <c r="A37" s="9" t="s">
        <v>55</v>
      </c>
      <c r="B37" s="9"/>
      <c r="C37" s="14">
        <f>AVERAGE(D33:D34)*(10000)*(1/$F$7)</f>
        <v>0</v>
      </c>
    </row>
    <row r="38" spans="1:7">
      <c r="A38" s="9" t="s">
        <v>55</v>
      </c>
      <c r="B38" s="9"/>
      <c r="C38" s="15">
        <f>AVERAGE(D33:D34)*(1/$F$7)</f>
        <v>0</v>
      </c>
    </row>
    <row r="40" spans="1:7">
      <c r="A40" s="3" t="s">
        <v>56</v>
      </c>
      <c r="B40" s="3"/>
    </row>
    <row r="41" spans="1:7">
      <c r="A41" s="5" t="s">
        <v>29</v>
      </c>
      <c r="B41" s="5" t="s">
        <v>17</v>
      </c>
      <c r="C41" s="5" t="s">
        <v>52</v>
      </c>
      <c r="D41" s="5" t="s">
        <v>57</v>
      </c>
    </row>
    <row r="42" spans="1:7">
      <c r="A42" s="5" t="s">
        <v>23</v>
      </c>
      <c r="B42" s="8">
        <f>G42</f>
        <v>0</v>
      </c>
      <c r="C42" s="17"/>
      <c r="D42" s="12"/>
      <c r="G42" s="13">
        <f>digestion_page!B34</f>
        <v>0</v>
      </c>
    </row>
    <row r="43" spans="1:7">
      <c r="A43" s="5" t="s">
        <v>24</v>
      </c>
      <c r="B43" s="8">
        <f>G43</f>
        <v>0</v>
      </c>
      <c r="C43" s="17"/>
      <c r="D43" s="12"/>
      <c r="G43" s="13">
        <f>digestion_page!B35</f>
        <v>0</v>
      </c>
    </row>
    <row r="45" spans="1:7">
      <c r="A45" s="9" t="s">
        <v>54</v>
      </c>
      <c r="B45" s="9"/>
      <c r="C45" s="3"/>
    </row>
    <row r="46" spans="1:7">
      <c r="A46" s="9" t="s">
        <v>58</v>
      </c>
      <c r="B46" s="9"/>
      <c r="C46" s="14">
        <f>AVERAGE(D42:D43)*(10000)*(1/$F$7)</f>
        <v>0</v>
      </c>
    </row>
    <row r="47" spans="1:7">
      <c r="A47" s="9" t="s">
        <v>58</v>
      </c>
      <c r="B47" s="9"/>
      <c r="C47" s="15">
        <f>AVERAGE(D42:D43)*(1/$F$7)</f>
        <v>0</v>
      </c>
    </row>
    <row r="49" spans="1:6">
      <c r="A49" s="3" t="s">
        <v>59</v>
      </c>
      <c r="B49" s="3"/>
    </row>
    <row r="50" spans="1:6">
      <c r="A50" s="5" t="s">
        <v>29</v>
      </c>
      <c r="B50" s="5" t="s">
        <v>53</v>
      </c>
      <c r="C50" s="5" t="s">
        <v>57</v>
      </c>
    </row>
    <row r="51" spans="1:6">
      <c r="A51" s="5" t="s">
        <v>64</v>
      </c>
      <c r="B51" s="12">
        <f>C38</f>
        <v>0</v>
      </c>
      <c r="C51" s="12">
        <f>C47</f>
        <v>0</v>
      </c>
    </row>
    <row r="53" spans="1:6">
      <c r="A53" s="9" t="s">
        <v>60</v>
      </c>
      <c r="B53" s="9"/>
      <c r="C53" s="14">
        <f>(C38-C47)*(10000)</f>
        <v>0</v>
      </c>
    </row>
    <row r="54" spans="1:6">
      <c r="A54" s="9" t="s">
        <v>60</v>
      </c>
      <c r="B54" s="9"/>
      <c r="C54" s="15">
        <f>(C38-C47)</f>
        <v>0</v>
      </c>
    </row>
    <row r="56" spans="1:6">
      <c r="B56" s="9" t="s">
        <v>62</v>
      </c>
      <c r="C56" s="18"/>
      <c r="D56" s="18"/>
      <c r="E56" s="18"/>
      <c r="F56" s="18"/>
    </row>
    <row r="57" spans="1:6">
      <c r="C57" s="18"/>
      <c r="D57" s="18"/>
      <c r="E57" s="18"/>
      <c r="F57" s="18"/>
    </row>
    <row r="58" spans="1:6">
      <c r="C58" s="18"/>
      <c r="D58" s="18"/>
      <c r="E58" s="18"/>
      <c r="F58" s="18"/>
    </row>
  </sheetData>
  <mergeCells count="26">
    <mergeCell ref="A9:B9"/>
    <mergeCell ref="A14:B14"/>
    <mergeCell ref="A15:B15"/>
    <mergeCell ref="A16:B16"/>
    <mergeCell ref="A17:B17"/>
    <mergeCell ref="A18:B18"/>
    <mergeCell ref="C18:F18"/>
    <mergeCell ref="A20:B20"/>
    <mergeCell ref="A25:B25"/>
    <mergeCell ref="A26:B26"/>
    <mergeCell ref="A27:B27"/>
    <mergeCell ref="A28:B28"/>
    <mergeCell ref="A29:B29"/>
    <mergeCell ref="C29:F29"/>
    <mergeCell ref="A31:B31"/>
    <mergeCell ref="A36:B36"/>
    <mergeCell ref="A37:B37"/>
    <mergeCell ref="A38:B38"/>
    <mergeCell ref="A40:B40"/>
    <mergeCell ref="A45:B45"/>
    <mergeCell ref="A46:B46"/>
    <mergeCell ref="A47:B47"/>
    <mergeCell ref="A49:B49"/>
    <mergeCell ref="A53:B53"/>
    <mergeCell ref="A54:B54"/>
    <mergeCell ref="C56:F58"/>
  </mergeCells>
  <conditionalFormatting sqref="B5">
    <cfRule type="containsBlanks" dxfId="0" priority="1">
      <formula>LEN(TRIM(B5))=0</formula>
    </cfRule>
  </conditionalFormatting>
  <conditionalFormatting sqref="C18:F18">
    <cfRule type="containsBlanks" dxfId="0" priority="2">
      <formula>LEN(TRIM(C18))=0</formula>
    </cfRule>
  </conditionalFormatting>
  <conditionalFormatting sqref="C29:F29">
    <cfRule type="containsBlanks" dxfId="0" priority="3">
      <formula>LEN(TRIM(C29))=0</formula>
    </cfRule>
  </conditionalFormatting>
  <conditionalFormatting sqref="C36">
    <cfRule type="containsBlanks" dxfId="0" priority="4">
      <formula>LEN(TRIM(C36))=0</formula>
    </cfRule>
  </conditionalFormatting>
  <conditionalFormatting sqref="C45">
    <cfRule type="containsBlanks" dxfId="0" priority="5">
      <formula>LEN(TRIM(C45))=0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9" t="s">
        <v>65</v>
      </c>
    </row>
    <row r="2" spans="1:1">
      <c r="A2" s="19" t="s">
        <v>66</v>
      </c>
    </row>
    <row r="3" spans="1:1">
      <c r="A3" s="19" t="s">
        <v>67</v>
      </c>
    </row>
    <row r="5" spans="1:1">
      <c r="A5" s="19" t="s">
        <v>68</v>
      </c>
    </row>
    <row r="7" spans="1:1">
      <c r="A7" s="19" t="s">
        <v>69</v>
      </c>
    </row>
    <row r="9" spans="1:1">
      <c r="A9" s="19" t="s">
        <v>70</v>
      </c>
    </row>
    <row r="11" spans="1:1">
      <c r="A11" s="19" t="s">
        <v>71</v>
      </c>
    </row>
    <row r="13" spans="1:1">
      <c r="A13" s="19" t="s">
        <v>72</v>
      </c>
    </row>
    <row r="15" spans="1:1">
      <c r="A15" s="19" t="s">
        <v>73</v>
      </c>
    </row>
    <row r="17" spans="1:1">
      <c r="A17" s="19" t="s">
        <v>74</v>
      </c>
    </row>
    <row r="19" spans="1:1">
      <c r="A19" s="19" t="s">
        <v>75</v>
      </c>
    </row>
    <row r="21" spans="1:1">
      <c r="A21" s="19" t="s">
        <v>76</v>
      </c>
    </row>
    <row r="23" spans="1:1">
      <c r="A23" s="19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digestion_page</vt:lpstr>
      <vt:lpstr>200126511</vt:lpstr>
      <vt:lpstr>200126512</vt:lpstr>
      <vt:lpstr>200126513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2026-05-21T14:59:27Z</dcterms:created>
  <dcterms:modified xsi:type="dcterms:W3CDTF">2026-05-21T14:59:27Z</dcterms:modified>
</cp:coreProperties>
</file>