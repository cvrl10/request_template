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request_template\"/>
    </mc:Choice>
  </mc:AlternateContent>
  <xr:revisionPtr revIDLastSave="0" documentId="13_ncr:1_{C8CD1BEA-58CF-45BE-9290-ED1EA2198C9B}" xr6:coauthVersionLast="47" xr6:coauthVersionMax="47" xr10:uidLastSave="{00000000-0000-0000-0000-000000000000}"/>
  <bookViews>
    <workbookView xWindow="-23148" yWindow="-108" windowWidth="23256" windowHeight="12456" activeTab="1" xr2:uid="{00000000-000D-0000-FFFF-FFFF00000000}"/>
  </bookViews>
  <sheets>
    <sheet name="digestion_page" sheetId="1" r:id="rId1"/>
    <sheet name="200120000" sheetId="2" r:id="rId2"/>
    <sheet name="formula_pag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7" i="2" l="1"/>
  <c r="H47" i="2"/>
  <c r="G47" i="2"/>
  <c r="B47" i="2"/>
  <c r="I46" i="2"/>
  <c r="H46" i="2"/>
  <c r="G46" i="2"/>
  <c r="B46" i="2"/>
  <c r="I45" i="2"/>
  <c r="H45" i="2"/>
  <c r="G45" i="2"/>
  <c r="D45" i="2" s="1"/>
  <c r="B45" i="2"/>
  <c r="I37" i="2"/>
  <c r="H37" i="2"/>
  <c r="G37" i="2"/>
  <c r="B37" i="2"/>
  <c r="I36" i="2"/>
  <c r="H36" i="2"/>
  <c r="G36" i="2"/>
  <c r="B36" i="2"/>
  <c r="I35" i="2"/>
  <c r="H35" i="2"/>
  <c r="G35" i="2"/>
  <c r="B35" i="2"/>
  <c r="H25" i="2"/>
  <c r="G25" i="2"/>
  <c r="B25" i="2"/>
  <c r="I25" i="2" s="1"/>
  <c r="H24" i="2"/>
  <c r="D24" i="2" s="1"/>
  <c r="E24" i="2" s="1"/>
  <c r="G24" i="2"/>
  <c r="B24" i="2"/>
  <c r="I24" i="2" s="1"/>
  <c r="H23" i="2"/>
  <c r="D23" i="2" s="1"/>
  <c r="G23" i="2"/>
  <c r="B23" i="2"/>
  <c r="I23" i="2" s="1"/>
  <c r="I13" i="2"/>
  <c r="D13" i="2" s="1"/>
  <c r="E13" i="2" s="1"/>
  <c r="H13" i="2"/>
  <c r="G13" i="2"/>
  <c r="B13" i="2"/>
  <c r="H12" i="2"/>
  <c r="G12" i="2"/>
  <c r="B12" i="2"/>
  <c r="I12" i="2" s="1"/>
  <c r="I11" i="2"/>
  <c r="H11" i="2"/>
  <c r="G11" i="2"/>
  <c r="B11" i="2"/>
  <c r="E7" i="2"/>
  <c r="F7" i="2" s="1"/>
  <c r="D46" i="2" s="1"/>
  <c r="E46" i="2" s="1"/>
  <c r="D6" i="2"/>
  <c r="C27" i="2" l="1"/>
  <c r="E23" i="2"/>
  <c r="C49" i="2"/>
  <c r="E45" i="2"/>
  <c r="D12" i="2"/>
  <c r="E12" i="2" s="1"/>
  <c r="D11" i="2"/>
  <c r="D25" i="2"/>
  <c r="E25" i="2" s="1"/>
  <c r="D35" i="2"/>
  <c r="D36" i="2"/>
  <c r="E36" i="2" s="1"/>
  <c r="D37" i="2"/>
  <c r="E37" i="2" s="1"/>
  <c r="D47" i="2"/>
  <c r="E47" i="2" s="1"/>
  <c r="C39" i="2" l="1"/>
  <c r="E35" i="2"/>
  <c r="C40" i="2" s="1"/>
  <c r="C52" i="2"/>
  <c r="C50" i="2"/>
  <c r="C15" i="2"/>
  <c r="E11" i="2"/>
  <c r="C28" i="2"/>
  <c r="C30" i="2"/>
  <c r="C18" i="2" l="1"/>
  <c r="C16" i="2"/>
</calcChain>
</file>

<file path=xl/sharedStrings.xml><?xml version="1.0" encoding="utf-8"?>
<sst xmlns="http://schemas.openxmlformats.org/spreadsheetml/2006/main" count="93" uniqueCount="64">
  <si>
    <t>Date:</t>
  </si>
  <si>
    <t>Request ID:</t>
  </si>
  <si>
    <t>1000</t>
  </si>
  <si>
    <t>Katanax</t>
  </si>
  <si>
    <t>Analyte(s)</t>
  </si>
  <si>
    <t>Al, Ca, Ni, Ti</t>
  </si>
  <si>
    <t>SOP#</t>
  </si>
  <si>
    <t>Acid Cocktail</t>
  </si>
  <si>
    <t>sample(s)</t>
  </si>
  <si>
    <t>weight (g)</t>
  </si>
  <si>
    <t>volume (mL)</t>
  </si>
  <si>
    <t>200120000_1</t>
  </si>
  <si>
    <t>200120000_2</t>
  </si>
  <si>
    <t>200120000_3</t>
  </si>
  <si>
    <t>LOI temp:</t>
  </si>
  <si>
    <t>sample</t>
  </si>
  <si>
    <t>crucible (g)</t>
  </si>
  <si>
    <t>crucible + sample (g)</t>
  </si>
  <si>
    <t>LOI (%)</t>
  </si>
  <si>
    <t>correction</t>
  </si>
  <si>
    <t>200120000</t>
  </si>
  <si>
    <t>Al ICP analysis</t>
  </si>
  <si>
    <t>Dilution</t>
  </si>
  <si>
    <t>conc. [mg/L]</t>
  </si>
  <si>
    <t>Al_ppm [dried]</t>
  </si>
  <si>
    <t>%Al [dried]</t>
  </si>
  <si>
    <t>al result:</t>
  </si>
  <si>
    <t>al oxide factor:</t>
  </si>
  <si>
    <t>al oxide result:</t>
  </si>
  <si>
    <t>al lot:</t>
  </si>
  <si>
    <t>Ca ICP analysis</t>
  </si>
  <si>
    <t>Ca_ppm [dried]</t>
  </si>
  <si>
    <t>%Ca [dried]</t>
  </si>
  <si>
    <t>ca result:</t>
  </si>
  <si>
    <t>ca oxide factor:</t>
  </si>
  <si>
    <t>ca oxide result:</t>
  </si>
  <si>
    <t>ca lot:</t>
  </si>
  <si>
    <t>Ni ICP analysis</t>
  </si>
  <si>
    <t>Ni_ppm [dried]</t>
  </si>
  <si>
    <t>%Ni [dried]</t>
  </si>
  <si>
    <t>ni result:</t>
  </si>
  <si>
    <t>ni lot:</t>
  </si>
  <si>
    <t>Ti ICP analysis</t>
  </si>
  <si>
    <t>Ti_ppm [dried]</t>
  </si>
  <si>
    <t>%Ti [dried]</t>
  </si>
  <si>
    <t>ti result:</t>
  </si>
  <si>
    <t>ti oxide factor:</t>
  </si>
  <si>
    <t>ti oxide result:</t>
  </si>
  <si>
    <t>ti lot:</t>
  </si>
  <si>
    <t>Manufacturer: Assurance, 28-35CAY exp: 2026-10-30</t>
  </si>
  <si>
    <t>Manufacturer: Assurance, 28-130NIT exp: 2026-10-30</t>
  </si>
  <si>
    <t>Manufacturer: Assurance, 27-189TIT exp: 2026-08-30</t>
  </si>
  <si>
    <t>Note(s):</t>
  </si>
  <si>
    <t>Whole pieces.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</si>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</sst>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"/>
    <numFmt numFmtId="166" formatCode="######&quot; °C&quot;"/>
    <numFmt numFmtId="167" formatCode="0.000"/>
    <numFmt numFmtId="168" formatCode="0.00&quot; ppm&quot;"/>
    <numFmt numFmtId="169" formatCode="0.00&quot; %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5"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/>
  </sheetViews>
  <sheetFormatPr defaultRowHeight="14.4" x14ac:dyDescent="0.3"/>
  <cols>
    <col min="1" max="1" width="12.6640625" customWidth="1"/>
    <col min="2" max="2" width="11.5546875" bestFit="1" customWidth="1"/>
    <col min="3" max="3" width="12.109375" bestFit="1" customWidth="1"/>
  </cols>
  <sheetData>
    <row r="1" spans="1:3" x14ac:dyDescent="0.3">
      <c r="A1" s="1" t="s">
        <v>0</v>
      </c>
      <c r="B1" s="2">
        <v>46238</v>
      </c>
    </row>
    <row r="2" spans="1:3" x14ac:dyDescent="0.3">
      <c r="A2" s="1" t="s">
        <v>1</v>
      </c>
      <c r="B2" s="3" t="s">
        <v>2</v>
      </c>
    </row>
    <row r="5" spans="1:3" x14ac:dyDescent="0.3">
      <c r="A5" s="15" t="s">
        <v>3</v>
      </c>
      <c r="B5" s="15"/>
      <c r="C5" s="15"/>
    </row>
    <row r="6" spans="1:3" x14ac:dyDescent="0.3">
      <c r="A6" s="4" t="s">
        <v>4</v>
      </c>
      <c r="B6" s="16" t="s">
        <v>5</v>
      </c>
      <c r="C6" s="16"/>
    </row>
    <row r="7" spans="1:3" x14ac:dyDescent="0.3">
      <c r="A7" s="4" t="s">
        <v>6</v>
      </c>
      <c r="B7" s="16"/>
      <c r="C7" s="16"/>
    </row>
    <row r="8" spans="1:3" x14ac:dyDescent="0.3">
      <c r="A8" s="4" t="s">
        <v>7</v>
      </c>
      <c r="B8" s="16"/>
      <c r="C8" s="16"/>
    </row>
    <row r="9" spans="1:3" x14ac:dyDescent="0.3">
      <c r="A9" s="4" t="s">
        <v>8</v>
      </c>
      <c r="B9" s="4" t="s">
        <v>9</v>
      </c>
      <c r="C9" s="4" t="s">
        <v>10</v>
      </c>
    </row>
    <row r="10" spans="1:3" x14ac:dyDescent="0.3">
      <c r="A10" s="4" t="s">
        <v>11</v>
      </c>
      <c r="B10" s="6"/>
      <c r="C10" s="5">
        <v>250</v>
      </c>
    </row>
    <row r="11" spans="1:3" x14ac:dyDescent="0.3">
      <c r="A11" s="4" t="s">
        <v>12</v>
      </c>
      <c r="B11" s="6"/>
      <c r="C11" s="5">
        <v>250</v>
      </c>
    </row>
    <row r="12" spans="1:3" x14ac:dyDescent="0.3">
      <c r="A12" s="4" t="s">
        <v>13</v>
      </c>
      <c r="B12" s="6"/>
      <c r="C12" s="5">
        <v>250</v>
      </c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7"/>
  <sheetViews>
    <sheetView tabSelected="1" workbookViewId="0">
      <selection activeCell="B6" sqref="B6"/>
    </sheetView>
  </sheetViews>
  <sheetFormatPr defaultRowHeight="14.4" x14ac:dyDescent="0.3"/>
  <cols>
    <col min="1" max="1" width="12" bestFit="1" customWidth="1"/>
    <col min="2" max="2" width="10.88671875" bestFit="1" customWidth="1"/>
    <col min="3" max="3" width="19.109375" bestFit="1" customWidth="1"/>
    <col min="4" max="4" width="14.6640625" bestFit="1" customWidth="1"/>
    <col min="5" max="5" width="11.33203125" bestFit="1" customWidth="1"/>
    <col min="6" max="6" width="10" bestFit="1" customWidth="1"/>
    <col min="7" max="44" width="7.6640625" customWidth="1"/>
  </cols>
  <sheetData>
    <row r="1" spans="1:9" x14ac:dyDescent="0.3">
      <c r="A1" s="1" t="s">
        <v>0</v>
      </c>
      <c r="B1" s="2">
        <v>46238</v>
      </c>
    </row>
    <row r="2" spans="1:9" x14ac:dyDescent="0.3">
      <c r="A2" s="1" t="s">
        <v>1</v>
      </c>
      <c r="B2" s="3" t="s">
        <v>2</v>
      </c>
    </row>
    <row r="5" spans="1:9" x14ac:dyDescent="0.3">
      <c r="A5" s="7" t="s">
        <v>14</v>
      </c>
      <c r="B5" s="8">
        <v>900</v>
      </c>
    </row>
    <row r="6" spans="1:9" x14ac:dyDescent="0.3">
      <c r="A6" s="4" t="s">
        <v>15</v>
      </c>
      <c r="B6" s="4" t="s">
        <v>16</v>
      </c>
      <c r="C6" s="4" t="s">
        <v>17</v>
      </c>
      <c r="D6" s="4" t="str">
        <f>"after "&amp;B5&amp;" °C"</f>
        <v>after 900 °C</v>
      </c>
      <c r="E6" s="4" t="s">
        <v>18</v>
      </c>
      <c r="F6" s="4" t="s">
        <v>19</v>
      </c>
    </row>
    <row r="7" spans="1:9" x14ac:dyDescent="0.3">
      <c r="A7" s="4" t="s">
        <v>20</v>
      </c>
      <c r="B7" s="6"/>
      <c r="C7" s="6"/>
      <c r="D7" s="6"/>
      <c r="E7" s="9" t="e">
        <f>(((C7-B7)-(D7-B7))/(C7-B7))*100</f>
        <v>#DIV/0!</v>
      </c>
      <c r="F7" s="6" t="e">
        <f>1-(E7/100)</f>
        <v>#DIV/0!</v>
      </c>
    </row>
    <row r="9" spans="1:9" x14ac:dyDescent="0.3">
      <c r="A9" s="17" t="s">
        <v>21</v>
      </c>
      <c r="B9" s="17"/>
    </row>
    <row r="10" spans="1:9" x14ac:dyDescent="0.3">
      <c r="A10" s="4" t="s">
        <v>15</v>
      </c>
      <c r="B10" s="4" t="s">
        <v>22</v>
      </c>
      <c r="C10" s="4" t="s">
        <v>23</v>
      </c>
      <c r="D10" s="4" t="s">
        <v>24</v>
      </c>
      <c r="E10" s="4" t="s">
        <v>25</v>
      </c>
    </row>
    <row r="11" spans="1:9" x14ac:dyDescent="0.3">
      <c r="A11" s="4" t="s">
        <v>11</v>
      </c>
      <c r="B11" s="5" t="str">
        <f>"1/1"</f>
        <v>1/1</v>
      </c>
      <c r="C11" s="10"/>
      <c r="D11" s="9" t="e">
        <f>((C11)*(H11)*(I11))/(G11*$F$7)</f>
        <v>#DIV/0!</v>
      </c>
      <c r="E11" s="9" t="e">
        <f>D11/10000</f>
        <v>#DIV/0!</v>
      </c>
      <c r="G11" s="11">
        <f>digestion_page!B10</f>
        <v>0</v>
      </c>
      <c r="H11" s="11">
        <f>digestion_page!C10</f>
        <v>250</v>
      </c>
      <c r="I11" s="11">
        <f>(LEFT(B11,FIND("/",B11)-1)/RIGHT(B11,LEN(B11)-FIND("/", B11)))</f>
        <v>1</v>
      </c>
    </row>
    <row r="12" spans="1:9" x14ac:dyDescent="0.3">
      <c r="A12" s="4" t="s">
        <v>12</v>
      </c>
      <c r="B12" s="5" t="str">
        <f>"1/1"</f>
        <v>1/1</v>
      </c>
      <c r="C12" s="10"/>
      <c r="D12" s="9" t="e">
        <f>((C12)*(H12)*(I12))/(G12*$F$7)</f>
        <v>#DIV/0!</v>
      </c>
      <c r="E12" s="9" t="e">
        <f>D12/10000</f>
        <v>#DIV/0!</v>
      </c>
      <c r="G12" s="11">
        <f>digestion_page!B11</f>
        <v>0</v>
      </c>
      <c r="H12" s="11">
        <f>digestion_page!C11</f>
        <v>250</v>
      </c>
      <c r="I12" s="11">
        <f>(LEFT(B12,FIND("/",B12)-1)/RIGHT(B12,LEN(B12)-FIND("/", B12)))</f>
        <v>1</v>
      </c>
    </row>
    <row r="13" spans="1:9" x14ac:dyDescent="0.3">
      <c r="A13" s="4" t="s">
        <v>13</v>
      </c>
      <c r="B13" s="5" t="str">
        <f>"1/1"</f>
        <v>1/1</v>
      </c>
      <c r="C13" s="10"/>
      <c r="D13" s="9" t="e">
        <f>((C13)*(H13)*(I13))/(G13*$F$7)</f>
        <v>#DIV/0!</v>
      </c>
      <c r="E13" s="9" t="e">
        <f>D13/10000</f>
        <v>#DIV/0!</v>
      </c>
      <c r="G13" s="11">
        <f>digestion_page!B12</f>
        <v>0</v>
      </c>
      <c r="H13" s="11">
        <f>digestion_page!C12</f>
        <v>250</v>
      </c>
      <c r="I13" s="11">
        <f>(LEFT(B13,FIND("/",B13)-1)/RIGHT(B13,LEN(B13)-FIND("/", B13)))</f>
        <v>1</v>
      </c>
    </row>
    <row r="15" spans="1:9" x14ac:dyDescent="0.3">
      <c r="A15" s="18" t="s">
        <v>26</v>
      </c>
      <c r="B15" s="18"/>
      <c r="C15" s="12" t="e">
        <f>AVERAGE(D11:D13)</f>
        <v>#DIV/0!</v>
      </c>
    </row>
    <row r="16" spans="1:9" x14ac:dyDescent="0.3">
      <c r="A16" s="18" t="s">
        <v>26</v>
      </c>
      <c r="B16" s="18"/>
      <c r="C16" s="13" t="e">
        <f>AVERAGE(E11:E13)</f>
        <v>#DIV/0!</v>
      </c>
    </row>
    <row r="17" spans="1:9" x14ac:dyDescent="0.3">
      <c r="A17" s="18" t="s">
        <v>27</v>
      </c>
      <c r="B17" s="18"/>
      <c r="C17" s="3"/>
    </row>
    <row r="18" spans="1:9" x14ac:dyDescent="0.3">
      <c r="A18" s="18" t="s">
        <v>28</v>
      </c>
      <c r="B18" s="18"/>
      <c r="C18" s="13" t="e">
        <f>AVERAGE(E11:E13)*(C17)</f>
        <v>#DIV/0!</v>
      </c>
    </row>
    <row r="19" spans="1:9" x14ac:dyDescent="0.3">
      <c r="A19" s="18" t="s">
        <v>29</v>
      </c>
      <c r="B19" s="18"/>
      <c r="C19" s="19"/>
      <c r="D19" s="19"/>
      <c r="E19" s="19"/>
      <c r="F19" s="19"/>
    </row>
    <row r="21" spans="1:9" x14ac:dyDescent="0.3">
      <c r="A21" s="17" t="s">
        <v>30</v>
      </c>
      <c r="B21" s="17"/>
    </row>
    <row r="22" spans="1:9" x14ac:dyDescent="0.3">
      <c r="A22" s="4" t="s">
        <v>15</v>
      </c>
      <c r="B22" s="4" t="s">
        <v>22</v>
      </c>
      <c r="C22" s="4" t="s">
        <v>23</v>
      </c>
      <c r="D22" s="4" t="s">
        <v>31</v>
      </c>
      <c r="E22" s="4" t="s">
        <v>32</v>
      </c>
    </row>
    <row r="23" spans="1:9" x14ac:dyDescent="0.3">
      <c r="A23" s="4" t="s">
        <v>11</v>
      </c>
      <c r="B23" s="5" t="str">
        <f>"1/1"</f>
        <v>1/1</v>
      </c>
      <c r="C23" s="10"/>
      <c r="D23" s="9" t="e">
        <f>((C23)*(H23)*(I23))/(G23*$F$7)</f>
        <v>#DIV/0!</v>
      </c>
      <c r="E23" s="9" t="e">
        <f>D23/10000</f>
        <v>#DIV/0!</v>
      </c>
      <c r="G23" s="11">
        <f>digestion_page!B10</f>
        <v>0</v>
      </c>
      <c r="H23" s="11">
        <f>digestion_page!C10</f>
        <v>250</v>
      </c>
      <c r="I23" s="11">
        <f>(LEFT(B23,FIND("/",B23)-1)/RIGHT(B23,LEN(B23)-FIND("/", B23)))</f>
        <v>1</v>
      </c>
    </row>
    <row r="24" spans="1:9" x14ac:dyDescent="0.3">
      <c r="A24" s="4" t="s">
        <v>12</v>
      </c>
      <c r="B24" s="5" t="str">
        <f>"1/1"</f>
        <v>1/1</v>
      </c>
      <c r="C24" s="10"/>
      <c r="D24" s="9" t="e">
        <f>((C24)*(H24)*(I24))/(G24*$F$7)</f>
        <v>#DIV/0!</v>
      </c>
      <c r="E24" s="9" t="e">
        <f>D24/10000</f>
        <v>#DIV/0!</v>
      </c>
      <c r="G24" s="11">
        <f>digestion_page!B11</f>
        <v>0</v>
      </c>
      <c r="H24" s="11">
        <f>digestion_page!C11</f>
        <v>250</v>
      </c>
      <c r="I24" s="11">
        <f>(LEFT(B24,FIND("/",B24)-1)/RIGHT(B24,LEN(B24)-FIND("/", B24)))</f>
        <v>1</v>
      </c>
    </row>
    <row r="25" spans="1:9" x14ac:dyDescent="0.3">
      <c r="A25" s="4" t="s">
        <v>13</v>
      </c>
      <c r="B25" s="5" t="str">
        <f>"1/1"</f>
        <v>1/1</v>
      </c>
      <c r="C25" s="10"/>
      <c r="D25" s="9" t="e">
        <f>((C25)*(H25)*(I25))/(G25*$F$7)</f>
        <v>#DIV/0!</v>
      </c>
      <c r="E25" s="9" t="e">
        <f>D25/10000</f>
        <v>#DIV/0!</v>
      </c>
      <c r="G25" s="11">
        <f>digestion_page!B12</f>
        <v>0</v>
      </c>
      <c r="H25" s="11">
        <f>digestion_page!C12</f>
        <v>250</v>
      </c>
      <c r="I25" s="11">
        <f>(LEFT(B25,FIND("/",B25)-1)/RIGHT(B25,LEN(B25)-FIND("/", B25)))</f>
        <v>1</v>
      </c>
    </row>
    <row r="27" spans="1:9" x14ac:dyDescent="0.3">
      <c r="A27" s="18" t="s">
        <v>33</v>
      </c>
      <c r="B27" s="18"/>
      <c r="C27" s="12" t="e">
        <f>AVERAGE(D23:D25)</f>
        <v>#DIV/0!</v>
      </c>
    </row>
    <row r="28" spans="1:9" x14ac:dyDescent="0.3">
      <c r="A28" s="18" t="s">
        <v>33</v>
      </c>
      <c r="B28" s="18"/>
      <c r="C28" s="13" t="e">
        <f>AVERAGE(E23:E25)</f>
        <v>#DIV/0!</v>
      </c>
    </row>
    <row r="29" spans="1:9" x14ac:dyDescent="0.3">
      <c r="A29" s="18" t="s">
        <v>34</v>
      </c>
      <c r="B29" s="18"/>
      <c r="C29" s="3"/>
    </row>
    <row r="30" spans="1:9" x14ac:dyDescent="0.3">
      <c r="A30" s="18" t="s">
        <v>35</v>
      </c>
      <c r="B30" s="18"/>
      <c r="C30" s="13" t="e">
        <f>AVERAGE(E23:E25)*(C29)</f>
        <v>#DIV/0!</v>
      </c>
    </row>
    <row r="31" spans="1:9" x14ac:dyDescent="0.3">
      <c r="A31" s="18" t="s">
        <v>36</v>
      </c>
      <c r="B31" s="18"/>
      <c r="C31" s="19" t="s">
        <v>49</v>
      </c>
      <c r="D31" s="19"/>
      <c r="E31" s="19"/>
      <c r="F31" s="19"/>
    </row>
    <row r="33" spans="1:9" x14ac:dyDescent="0.3">
      <c r="A33" s="17" t="s">
        <v>37</v>
      </c>
      <c r="B33" s="17"/>
    </row>
    <row r="34" spans="1:9" x14ac:dyDescent="0.3">
      <c r="A34" s="4" t="s">
        <v>15</v>
      </c>
      <c r="B34" s="4" t="s">
        <v>22</v>
      </c>
      <c r="C34" s="4" t="s">
        <v>23</v>
      </c>
      <c r="D34" s="4" t="s">
        <v>38</v>
      </c>
      <c r="E34" s="4" t="s">
        <v>39</v>
      </c>
    </row>
    <row r="35" spans="1:9" x14ac:dyDescent="0.3">
      <c r="A35" s="4" t="s">
        <v>11</v>
      </c>
      <c r="B35" s="5" t="str">
        <f>"1/1"</f>
        <v>1/1</v>
      </c>
      <c r="C35" s="10"/>
      <c r="D35" s="9" t="e">
        <f>((C35)*(H35)*(I35))/(G35*$F$7)</f>
        <v>#DIV/0!</v>
      </c>
      <c r="E35" s="9" t="e">
        <f>D35/10000</f>
        <v>#DIV/0!</v>
      </c>
      <c r="G35" s="11">
        <f>digestion_page!B10</f>
        <v>0</v>
      </c>
      <c r="H35" s="11">
        <f>digestion_page!C10</f>
        <v>250</v>
      </c>
      <c r="I35" s="11">
        <f>(LEFT(B35,FIND("/",B35)-1)/RIGHT(B35,LEN(B35)-FIND("/", B35)))</f>
        <v>1</v>
      </c>
    </row>
    <row r="36" spans="1:9" x14ac:dyDescent="0.3">
      <c r="A36" s="4" t="s">
        <v>12</v>
      </c>
      <c r="B36" s="5" t="str">
        <f>"1/1"</f>
        <v>1/1</v>
      </c>
      <c r="C36" s="10"/>
      <c r="D36" s="9" t="e">
        <f>((C36)*(H36)*(I36))/(G36*$F$7)</f>
        <v>#DIV/0!</v>
      </c>
      <c r="E36" s="9" t="e">
        <f>D36/10000</f>
        <v>#DIV/0!</v>
      </c>
      <c r="G36" s="11">
        <f>digestion_page!B11</f>
        <v>0</v>
      </c>
      <c r="H36" s="11">
        <f>digestion_page!C11</f>
        <v>250</v>
      </c>
      <c r="I36" s="11">
        <f>(LEFT(B36,FIND("/",B36)-1)/RIGHT(B36,LEN(B36)-FIND("/", B36)))</f>
        <v>1</v>
      </c>
    </row>
    <row r="37" spans="1:9" x14ac:dyDescent="0.3">
      <c r="A37" s="4" t="s">
        <v>13</v>
      </c>
      <c r="B37" s="5" t="str">
        <f>"1/1"</f>
        <v>1/1</v>
      </c>
      <c r="C37" s="10"/>
      <c r="D37" s="9" t="e">
        <f>((C37)*(H37)*(I37))/(G37*$F$7)</f>
        <v>#DIV/0!</v>
      </c>
      <c r="E37" s="9" t="e">
        <f>D37/10000</f>
        <v>#DIV/0!</v>
      </c>
      <c r="G37" s="11">
        <f>digestion_page!B12</f>
        <v>0</v>
      </c>
      <c r="H37" s="11">
        <f>digestion_page!C12</f>
        <v>250</v>
      </c>
      <c r="I37" s="11">
        <f>(LEFT(B37,FIND("/",B37)-1)/RIGHT(B37,LEN(B37)-FIND("/", B37)))</f>
        <v>1</v>
      </c>
    </row>
    <row r="39" spans="1:9" x14ac:dyDescent="0.3">
      <c r="A39" s="18" t="s">
        <v>40</v>
      </c>
      <c r="B39" s="18"/>
      <c r="C39" s="12" t="e">
        <f>AVERAGE(D35:D37)</f>
        <v>#DIV/0!</v>
      </c>
    </row>
    <row r="40" spans="1:9" x14ac:dyDescent="0.3">
      <c r="A40" s="18" t="s">
        <v>40</v>
      </c>
      <c r="B40" s="18"/>
      <c r="C40" s="13" t="e">
        <f>AVERAGE(E35:E37)</f>
        <v>#DIV/0!</v>
      </c>
    </row>
    <row r="41" spans="1:9" x14ac:dyDescent="0.3">
      <c r="A41" s="18" t="s">
        <v>41</v>
      </c>
      <c r="B41" s="18"/>
      <c r="C41" s="19" t="s">
        <v>50</v>
      </c>
      <c r="D41" s="19"/>
      <c r="E41" s="19"/>
      <c r="F41" s="19"/>
    </row>
    <row r="43" spans="1:9" x14ac:dyDescent="0.3">
      <c r="A43" s="17" t="s">
        <v>42</v>
      </c>
      <c r="B43" s="17"/>
    </row>
    <row r="44" spans="1:9" x14ac:dyDescent="0.3">
      <c r="A44" s="4" t="s">
        <v>15</v>
      </c>
      <c r="B44" s="4" t="s">
        <v>22</v>
      </c>
      <c r="C44" s="4" t="s">
        <v>23</v>
      </c>
      <c r="D44" s="4" t="s">
        <v>43</v>
      </c>
      <c r="E44" s="4" t="s">
        <v>44</v>
      </c>
    </row>
    <row r="45" spans="1:9" x14ac:dyDescent="0.3">
      <c r="A45" s="4" t="s">
        <v>11</v>
      </c>
      <c r="B45" s="5" t="str">
        <f>"1/1"</f>
        <v>1/1</v>
      </c>
      <c r="C45" s="10"/>
      <c r="D45" s="9" t="e">
        <f>((C45)*(H45)*(I45))/(G45*$F$7)</f>
        <v>#DIV/0!</v>
      </c>
      <c r="E45" s="9" t="e">
        <f>D45/10000</f>
        <v>#DIV/0!</v>
      </c>
      <c r="G45" s="11">
        <f>digestion_page!B10</f>
        <v>0</v>
      </c>
      <c r="H45" s="11">
        <f>digestion_page!C10</f>
        <v>250</v>
      </c>
      <c r="I45" s="11">
        <f>(LEFT(B45,FIND("/",B45)-1)/RIGHT(B45,LEN(B45)-FIND("/", B45)))</f>
        <v>1</v>
      </c>
    </row>
    <row r="46" spans="1:9" x14ac:dyDescent="0.3">
      <c r="A46" s="4" t="s">
        <v>12</v>
      </c>
      <c r="B46" s="5" t="str">
        <f>"1/1"</f>
        <v>1/1</v>
      </c>
      <c r="C46" s="10"/>
      <c r="D46" s="9" t="e">
        <f>((C46)*(H46)*(I46))/(G46*$F$7)</f>
        <v>#DIV/0!</v>
      </c>
      <c r="E46" s="9" t="e">
        <f>D46/10000</f>
        <v>#DIV/0!</v>
      </c>
      <c r="G46" s="11">
        <f>digestion_page!B11</f>
        <v>0</v>
      </c>
      <c r="H46" s="11">
        <f>digestion_page!C11</f>
        <v>250</v>
      </c>
      <c r="I46" s="11">
        <f>(LEFT(B46,FIND("/",B46)-1)/RIGHT(B46,LEN(B46)-FIND("/", B46)))</f>
        <v>1</v>
      </c>
    </row>
    <row r="47" spans="1:9" x14ac:dyDescent="0.3">
      <c r="A47" s="4" t="s">
        <v>13</v>
      </c>
      <c r="B47" s="5" t="str">
        <f>"1/1"</f>
        <v>1/1</v>
      </c>
      <c r="C47" s="10"/>
      <c r="D47" s="9" t="e">
        <f>((C47)*(H47)*(I47))/(G47*$F$7)</f>
        <v>#DIV/0!</v>
      </c>
      <c r="E47" s="9" t="e">
        <f>D47/10000</f>
        <v>#DIV/0!</v>
      </c>
      <c r="G47" s="11">
        <f>digestion_page!B12</f>
        <v>0</v>
      </c>
      <c r="H47" s="11">
        <f>digestion_page!C12</f>
        <v>250</v>
      </c>
      <c r="I47" s="11">
        <f>(LEFT(B47,FIND("/",B47)-1)/RIGHT(B47,LEN(B47)-FIND("/", B47)))</f>
        <v>1</v>
      </c>
    </row>
    <row r="49" spans="1:6" x14ac:dyDescent="0.3">
      <c r="A49" s="18" t="s">
        <v>45</v>
      </c>
      <c r="B49" s="18"/>
      <c r="C49" s="12" t="e">
        <f>AVERAGE(D45:D47)</f>
        <v>#DIV/0!</v>
      </c>
    </row>
    <row r="50" spans="1:6" x14ac:dyDescent="0.3">
      <c r="A50" s="18" t="s">
        <v>45</v>
      </c>
      <c r="B50" s="18"/>
      <c r="C50" s="13" t="e">
        <f>AVERAGE(E45:E47)</f>
        <v>#DIV/0!</v>
      </c>
    </row>
    <row r="51" spans="1:6" x14ac:dyDescent="0.3">
      <c r="A51" s="18" t="s">
        <v>46</v>
      </c>
      <c r="B51" s="18"/>
      <c r="C51" s="3"/>
    </row>
    <row r="52" spans="1:6" x14ac:dyDescent="0.3">
      <c r="A52" s="18" t="s">
        <v>47</v>
      </c>
      <c r="B52" s="18"/>
      <c r="C52" s="13" t="e">
        <f>AVERAGE(E45:E47)*(C51)</f>
        <v>#DIV/0!</v>
      </c>
    </row>
    <row r="53" spans="1:6" x14ac:dyDescent="0.3">
      <c r="A53" s="18" t="s">
        <v>48</v>
      </c>
      <c r="B53" s="18"/>
      <c r="C53" s="19" t="s">
        <v>51</v>
      </c>
      <c r="D53" s="19"/>
      <c r="E53" s="19"/>
      <c r="F53" s="19"/>
    </row>
    <row r="55" spans="1:6" x14ac:dyDescent="0.3">
      <c r="B55" s="7" t="s">
        <v>52</v>
      </c>
      <c r="C55" s="20" t="s">
        <v>53</v>
      </c>
      <c r="D55" s="20"/>
      <c r="E55" s="20"/>
      <c r="F55" s="20"/>
    </row>
    <row r="56" spans="1:6" x14ac:dyDescent="0.3">
      <c r="C56" s="20"/>
      <c r="D56" s="20"/>
      <c r="E56" s="20"/>
      <c r="F56" s="20"/>
    </row>
    <row r="57" spans="1:6" x14ac:dyDescent="0.3">
      <c r="C57" s="20"/>
      <c r="D57" s="20"/>
      <c r="E57" s="20"/>
      <c r="F57" s="20"/>
    </row>
  </sheetData>
  <mergeCells count="27">
    <mergeCell ref="C53:F53"/>
    <mergeCell ref="C55:F57"/>
    <mergeCell ref="A49:B49"/>
    <mergeCell ref="A50:B50"/>
    <mergeCell ref="A51:B51"/>
    <mergeCell ref="A52:B52"/>
    <mergeCell ref="A53:B53"/>
    <mergeCell ref="A39:B39"/>
    <mergeCell ref="A40:B40"/>
    <mergeCell ref="A41:B41"/>
    <mergeCell ref="C41:F41"/>
    <mergeCell ref="A43:B43"/>
    <mergeCell ref="A29:B29"/>
    <mergeCell ref="A30:B30"/>
    <mergeCell ref="A31:B31"/>
    <mergeCell ref="C31:F31"/>
    <mergeCell ref="A33:B33"/>
    <mergeCell ref="A19:B19"/>
    <mergeCell ref="C19:F19"/>
    <mergeCell ref="A21:B21"/>
    <mergeCell ref="A27:B27"/>
    <mergeCell ref="A28:B28"/>
    <mergeCell ref="A9:B9"/>
    <mergeCell ref="A15:B15"/>
    <mergeCell ref="A16:B16"/>
    <mergeCell ref="A17:B17"/>
    <mergeCell ref="A18:B18"/>
  </mergeCells>
  <conditionalFormatting sqref="B5">
    <cfRule type="containsBlanks" dxfId="4" priority="1">
      <formula>LEN(TRIM(B5))=0</formula>
    </cfRule>
  </conditionalFormatting>
  <conditionalFormatting sqref="C19:F19">
    <cfRule type="containsBlanks" dxfId="3" priority="2">
      <formula>LEN(TRIM(C19))=0</formula>
    </cfRule>
  </conditionalFormatting>
  <conditionalFormatting sqref="C31:F31">
    <cfRule type="containsBlanks" dxfId="2" priority="3">
      <formula>LEN(TRIM(C31))=0</formula>
    </cfRule>
  </conditionalFormatting>
  <conditionalFormatting sqref="C41:F41">
    <cfRule type="containsBlanks" dxfId="1" priority="4">
      <formula>LEN(TRIM(C41))=0</formula>
    </cfRule>
  </conditionalFormatting>
  <conditionalFormatting sqref="C53:F53">
    <cfRule type="containsBlanks" dxfId="0" priority="5">
      <formula>LEN(TRIM(C53))=0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7"/>
  <sheetViews>
    <sheetView workbookViewId="0"/>
  </sheetViews>
  <sheetFormatPr defaultRowHeight="14.4" x14ac:dyDescent="0.3"/>
  <cols>
    <col min="1" max="1" width="46.109375" bestFit="1" customWidth="1"/>
  </cols>
  <sheetData>
    <row r="1" spans="1:1" x14ac:dyDescent="0.3">
      <c r="A1" s="14" t="s">
        <v>54</v>
      </c>
    </row>
    <row r="3" spans="1:1" x14ac:dyDescent="0.3">
      <c r="A3" s="14" t="s">
        <v>55</v>
      </c>
    </row>
    <row r="5" spans="1:1" x14ac:dyDescent="0.3">
      <c r="A5" s="14" t="s">
        <v>56</v>
      </c>
    </row>
    <row r="7" spans="1:1" x14ac:dyDescent="0.3">
      <c r="A7" s="14" t="s">
        <v>57</v>
      </c>
    </row>
    <row r="8" spans="1:1" x14ac:dyDescent="0.3">
      <c r="A8" s="14" t="s">
        <v>58</v>
      </c>
    </row>
    <row r="9" spans="1:1" x14ac:dyDescent="0.3">
      <c r="A9" s="14" t="s">
        <v>59</v>
      </c>
    </row>
    <row r="11" spans="1:1" x14ac:dyDescent="0.3">
      <c r="A11" s="14" t="s">
        <v>60</v>
      </c>
    </row>
    <row r="13" spans="1:1" x14ac:dyDescent="0.3">
      <c r="A13" s="14" t="s">
        <v>61</v>
      </c>
    </row>
    <row r="15" spans="1:1" x14ac:dyDescent="0.3">
      <c r="A15" s="14" t="s">
        <v>62</v>
      </c>
    </row>
    <row r="17" spans="1:1" x14ac:dyDescent="0.3">
      <c r="A17" s="14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200120000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Archemetre, Carl P.</cp:lastModifiedBy>
  <dcterms:created xsi:type="dcterms:W3CDTF">2026-08-04T23:48:44Z</dcterms:created>
  <dcterms:modified xsi:type="dcterms:W3CDTF">2026-08-04T23:49:00Z</dcterms:modified>
</cp:coreProperties>
</file>