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"/>
    </mc:Choice>
  </mc:AlternateContent>
  <xr:revisionPtr revIDLastSave="0" documentId="13_ncr:1_{B9E77C2C-B521-4DEA-9E08-DC13D3BA0D8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igestion_page" sheetId="1" r:id="rId1"/>
    <sheet name="200120001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2" l="1"/>
  <c r="H12" i="2"/>
  <c r="G12" i="2"/>
  <c r="B12" i="2"/>
  <c r="H11" i="2"/>
  <c r="G11" i="2"/>
  <c r="B11" i="2"/>
  <c r="I11" i="2" s="1"/>
  <c r="E7" i="2"/>
  <c r="F7" i="2" s="1"/>
  <c r="D6" i="2"/>
  <c r="D12" i="2" l="1"/>
  <c r="E12" i="2" s="1"/>
  <c r="D11" i="2"/>
  <c r="C14" i="2" l="1"/>
  <c r="E11" i="2"/>
  <c r="C15" i="2" s="1"/>
</calcChain>
</file>

<file path=xl/sharedStrings.xml><?xml version="1.0" encoding="utf-8"?>
<sst xmlns="http://schemas.openxmlformats.org/spreadsheetml/2006/main" count="44" uniqueCount="37">
  <si>
    <t>Date:</t>
  </si>
  <si>
    <t>Request ID:</t>
  </si>
  <si>
    <t>10004000</t>
  </si>
  <si>
    <t>Katanax</t>
  </si>
  <si>
    <t>Analyte(s)</t>
  </si>
  <si>
    <t>Ca</t>
  </si>
  <si>
    <t>SOP#</t>
  </si>
  <si>
    <t>Acid Cocktail</t>
  </si>
  <si>
    <t>sample(s)</t>
  </si>
  <si>
    <t>weight (g)</t>
  </si>
  <si>
    <t>volume (mL)</t>
  </si>
  <si>
    <t>200120001_1</t>
  </si>
  <si>
    <t>200120001_2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</si>
  <si>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</si>
  <si>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</si>
  <si>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</si>
  <si>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</si>
  <si>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</si>
  <si>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</si>
  <si>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</si>
  <si>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Ca_0 ICP analysis</t>
  </si>
  <si>
    <t>Dilution</t>
  </si>
  <si>
    <t>conc. [mg/L]</t>
  </si>
  <si>
    <t>Ca_0_ppm [dried]</t>
  </si>
  <si>
    <t>%Ca_0 [dried]</t>
  </si>
  <si>
    <t>ca_0 result:</t>
  </si>
  <si>
    <t>ca_0 lot: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</si>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</sst>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/>
  </sheetViews>
  <sheetFormatPr defaultRowHeight="15" x14ac:dyDescent="0.25"/>
  <cols>
    <col min="1" max="1" width="12.7109375" customWidth="1"/>
    <col min="2" max="2" width="10.7109375" bestFit="1" customWidth="1"/>
    <col min="3" max="3" width="12.140625" bestFit="1" customWidth="1"/>
  </cols>
  <sheetData>
    <row r="1" spans="1:3" x14ac:dyDescent="0.25">
      <c r="A1" s="1" t="s">
        <v>0</v>
      </c>
      <c r="B1" s="2">
        <v>46265</v>
      </c>
    </row>
    <row r="2" spans="1:3" x14ac:dyDescent="0.25">
      <c r="A2" s="1" t="s">
        <v>1</v>
      </c>
      <c r="B2" s="3" t="s">
        <v>2</v>
      </c>
    </row>
    <row r="5" spans="1:3" x14ac:dyDescent="0.25">
      <c r="A5" s="15" t="s">
        <v>3</v>
      </c>
      <c r="B5" s="15"/>
      <c r="C5" s="15"/>
    </row>
    <row r="6" spans="1:3" x14ac:dyDescent="0.25">
      <c r="A6" s="4" t="s">
        <v>4</v>
      </c>
      <c r="B6" s="16" t="s">
        <v>5</v>
      </c>
      <c r="C6" s="16"/>
    </row>
    <row r="7" spans="1:3" x14ac:dyDescent="0.25">
      <c r="A7" s="4" t="s">
        <v>6</v>
      </c>
      <c r="B7" s="16"/>
      <c r="C7" s="16"/>
    </row>
    <row r="8" spans="1:3" x14ac:dyDescent="0.25">
      <c r="A8" s="4" t="s">
        <v>7</v>
      </c>
      <c r="B8" s="16"/>
      <c r="C8" s="16"/>
    </row>
    <row r="9" spans="1:3" x14ac:dyDescent="0.25">
      <c r="A9" s="4" t="s">
        <v>8</v>
      </c>
      <c r="B9" s="4" t="s">
        <v>9</v>
      </c>
      <c r="C9" s="4" t="s">
        <v>10</v>
      </c>
    </row>
    <row r="10" spans="1:3" x14ac:dyDescent="0.25">
      <c r="A10" s="4" t="s">
        <v>11</v>
      </c>
      <c r="B10" s="6"/>
      <c r="C10" s="5">
        <v>250</v>
      </c>
    </row>
    <row r="11" spans="1:3" x14ac:dyDescent="0.25">
      <c r="A11" s="4" t="s">
        <v>12</v>
      </c>
      <c r="B11" s="6"/>
      <c r="C11" s="5">
        <v>250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tabSelected="1" workbookViewId="0">
      <selection activeCell="B6" sqref="B6"/>
    </sheetView>
  </sheetViews>
  <sheetFormatPr defaultRowHeight="15" x14ac:dyDescent="0.25"/>
  <cols>
    <col min="1" max="1" width="12" bestFit="1" customWidth="1"/>
    <col min="2" max="2" width="10.85546875" bestFit="1" customWidth="1"/>
    <col min="3" max="3" width="19.140625" bestFit="1" customWidth="1"/>
    <col min="4" max="4" width="16.7109375" bestFit="1" customWidth="1"/>
    <col min="5" max="5" width="13.28515625" bestFit="1" customWidth="1"/>
    <col min="6" max="6" width="10" bestFit="1" customWidth="1"/>
    <col min="7" max="10" width="7.7109375" customWidth="1"/>
  </cols>
  <sheetData>
    <row r="1" spans="1:9" x14ac:dyDescent="0.25">
      <c r="A1" s="1" t="s">
        <v>0</v>
      </c>
      <c r="B1" s="2">
        <v>46265</v>
      </c>
    </row>
    <row r="2" spans="1:9" x14ac:dyDescent="0.25">
      <c r="A2" s="1" t="s">
        <v>1</v>
      </c>
      <c r="B2" s="3" t="s">
        <v>2</v>
      </c>
    </row>
    <row r="5" spans="1:9" x14ac:dyDescent="0.25">
      <c r="A5" s="7" t="s">
        <v>13</v>
      </c>
      <c r="B5" s="8">
        <v>900</v>
      </c>
    </row>
    <row r="6" spans="1:9" x14ac:dyDescent="0.25">
      <c r="A6" s="4" t="s">
        <v>14</v>
      </c>
      <c r="B6" s="4" t="s">
        <v>15</v>
      </c>
      <c r="C6" s="4" t="s">
        <v>16</v>
      </c>
      <c r="D6" s="4" t="str">
        <f>"after "&amp;B5&amp;" °C"</f>
        <v>after 900 °C</v>
      </c>
      <c r="E6" s="4" t="s">
        <v>17</v>
      </c>
      <c r="F6" s="4" t="s">
        <v>18</v>
      </c>
    </row>
    <row r="7" spans="1:9" x14ac:dyDescent="0.25">
      <c r="A7" s="4" t="s">
        <v>19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25">
      <c r="A9" s="17" t="s">
        <v>20</v>
      </c>
      <c r="B9" s="17"/>
    </row>
    <row r="10" spans="1:9" x14ac:dyDescent="0.25">
      <c r="A10" s="4" t="s">
        <v>14</v>
      </c>
      <c r="B10" s="4" t="s">
        <v>21</v>
      </c>
      <c r="C10" s="4" t="s">
        <v>22</v>
      </c>
      <c r="D10" s="4" t="s">
        <v>23</v>
      </c>
      <c r="E10" s="4" t="s">
        <v>24</v>
      </c>
    </row>
    <row r="11" spans="1:9" x14ac:dyDescent="0.25">
      <c r="A11" s="4" t="s">
        <v>11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digestion_page!B10</f>
        <v>0</v>
      </c>
      <c r="H11" s="11">
        <f>digestion_page!C10</f>
        <v>250</v>
      </c>
      <c r="I11" s="11">
        <f>(LEFT(B11,FIND("/",B11)-1)/RIGHT(B11,LEN(B11)-FIND("/", B11)))</f>
        <v>1</v>
      </c>
    </row>
    <row r="12" spans="1:9" x14ac:dyDescent="0.25">
      <c r="A12" s="4" t="s">
        <v>12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digestion_page!B11</f>
        <v>0</v>
      </c>
      <c r="H12" s="11">
        <f>digestion_page!C11</f>
        <v>250</v>
      </c>
      <c r="I12" s="11">
        <f>(LEFT(B12,FIND("/",B12)-1)/RIGHT(B12,LEN(B12)-FIND("/", B12)))</f>
        <v>1</v>
      </c>
    </row>
    <row r="14" spans="1:9" x14ac:dyDescent="0.25">
      <c r="A14" s="18" t="s">
        <v>25</v>
      </c>
      <c r="B14" s="18"/>
      <c r="C14" s="12" t="e">
        <f>AVERAGE(D11:D12)</f>
        <v>#DIV/0!</v>
      </c>
    </row>
    <row r="15" spans="1:9" x14ac:dyDescent="0.25">
      <c r="A15" s="18" t="s">
        <v>25</v>
      </c>
      <c r="B15" s="18"/>
      <c r="C15" s="13" t="e">
        <f>AVERAGE(E11:E12)</f>
        <v>#DIV/0!</v>
      </c>
    </row>
    <row r="16" spans="1:9" x14ac:dyDescent="0.25">
      <c r="A16" s="18" t="s">
        <v>26</v>
      </c>
      <c r="B16" s="18"/>
      <c r="C16" s="19" t="s">
        <v>27</v>
      </c>
      <c r="D16" s="19"/>
      <c r="E16" s="19"/>
      <c r="F16" s="19"/>
    </row>
    <row r="18" spans="2:6" x14ac:dyDescent="0.25">
      <c r="B18" s="7" t="s">
        <v>28</v>
      </c>
      <c r="C18" s="20"/>
      <c r="D18" s="20"/>
      <c r="E18" s="20"/>
      <c r="F18" s="20"/>
    </row>
    <row r="19" spans="2:6" x14ac:dyDescent="0.25">
      <c r="C19" s="20"/>
      <c r="D19" s="20"/>
      <c r="E19" s="20"/>
      <c r="F19" s="20"/>
    </row>
    <row r="20" spans="2:6" x14ac:dyDescent="0.25">
      <c r="C20" s="20"/>
      <c r="D20" s="20"/>
      <c r="E20" s="20"/>
      <c r="F20" s="20"/>
    </row>
  </sheetData>
  <mergeCells count="6">
    <mergeCell ref="C18:F20"/>
    <mergeCell ref="A9:B9"/>
    <mergeCell ref="A14:B14"/>
    <mergeCell ref="A15:B15"/>
    <mergeCell ref="A16:B16"/>
    <mergeCell ref="C16:F16"/>
  </mergeCells>
  <conditionalFormatting sqref="B5">
    <cfRule type="containsBlanks" dxfId="1" priority="1">
      <formula>LEN(TRIM(B5))=0</formula>
    </cfRule>
  </conditionalFormatting>
  <conditionalFormatting sqref="C16:F16">
    <cfRule type="containsBlanks" dxfId="0" priority="2">
      <formula>LEN(TRIM(C16))=0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4" t="s">
        <v>29</v>
      </c>
    </row>
    <row r="3" spans="1:1" x14ac:dyDescent="0.25">
      <c r="A3" s="14" t="s">
        <v>30</v>
      </c>
    </row>
    <row r="5" spans="1:1" x14ac:dyDescent="0.25">
      <c r="A5" s="14" t="s">
        <v>31</v>
      </c>
    </row>
    <row r="6" spans="1:1" x14ac:dyDescent="0.25">
      <c r="A6" s="14" t="s">
        <v>32</v>
      </c>
    </row>
    <row r="7" spans="1:1" x14ac:dyDescent="0.25">
      <c r="A7" s="14" t="s">
        <v>33</v>
      </c>
    </row>
    <row r="9" spans="1:1" x14ac:dyDescent="0.25">
      <c r="A9" s="14" t="s">
        <v>34</v>
      </c>
    </row>
    <row r="11" spans="1:1" x14ac:dyDescent="0.25">
      <c r="A11" s="14" t="s">
        <v>35</v>
      </c>
    </row>
    <row r="13" spans="1:1" x14ac:dyDescent="0.25">
      <c r="A13" s="14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200120001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2026-08-31T19:43:34Z</dcterms:created>
  <dcterms:modified xsi:type="dcterms:W3CDTF">2026-08-31T19:44:06Z</dcterms:modified>
</cp:coreProperties>
</file>