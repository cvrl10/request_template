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<sst xmlns="http://schemas.openxmlformats.org/spreadsheetml/2006/main" count="252" uniqueCount="77">
  <si>
    <t>Date:</t>
  </si>
  <si>
    <t>Request ID:</t>
  </si>
  <si>
    <t>TEST</t>
  </si>
  <si>
    <t>Microwave</t>
  </si>
  <si>
    <t>Analyte(s)</t>
  </si>
  <si>
    <t>Mg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</si>
  <si>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</si>
  <si>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</si>
  <si>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</si>
  <si>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</si>
  <si>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</si>
  <si>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</si>
  <si>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</si>
  <si>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</si>
  <si>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</si>
  <si>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</si>
  <si>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</si>
  <si>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</si>
  <si>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</si>
  <si>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</si>
  <si>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</si>
  <si>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</si>
  <si>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</si>
  <si>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Mn</t>
  </si>
  <si>
    <t>Katanax</t>
  </si>
  <si>
    <t>K</t>
  </si>
  <si>
    <t>Kr</t>
  </si>
  <si>
    <t>Hotplate</t>
  </si>
  <si>
    <t>Hf</t>
  </si>
  <si>
    <t>Cocktail</t>
  </si>
  <si>
    <t>Hs</t>
  </si>
  <si>
    <t>Mg ICP analysis</t>
  </si>
  <si>
    <t>sample</t>
  </si>
  <si>
    <t>Dilution</t>
  </si>
  <si>
    <t>conc. [mg/L]</t>
  </si>
  <si>
    <t>Mg_ppm</t>
  </si>
  <si>
    <t>%Mg</t>
  </si>
  <si>
    <t>mg result:</t>
  </si>
  <si>
    <t>mg oxide factor:</t>
  </si>
  <si>
    <t>mg oxide result:</t>
  </si>
  <si>
    <t>mg lot:</t>
  </si>
  <si>
    <t>Mn ICP analysis</t>
  </si>
  <si>
    <t>Mn_ppm</t>
  </si>
  <si>
    <t>%Mn</t>
  </si>
  <si>
    <t>mn result:</t>
  </si>
  <si>
    <t>mn oxide factor:</t>
  </si>
  <si>
    <t>mn oxide result:</t>
  </si>
  <si>
    <t>mn lot:</t>
  </si>
  <si>
    <t>K ICP analysis</t>
  </si>
  <si>
    <t>K_ppm</t>
  </si>
  <si>
    <t>%K</t>
  </si>
  <si>
    <t>k result:</t>
  </si>
  <si>
    <t>k oxide factor:</t>
  </si>
  <si>
    <t>k oxide result:</t>
  </si>
  <si>
    <t>k lot:</t>
  </si>
  <si>
    <t>Kr ICP analysis</t>
  </si>
  <si>
    <t>Kr_ppm</t>
  </si>
  <si>
    <t>%Kr</t>
  </si>
  <si>
    <t>kr result:</t>
  </si>
  <si>
    <t>kr lot:</t>
  </si>
  <si>
    <t>Hf ICP analysis</t>
  </si>
  <si>
    <t>Hf_ppm</t>
  </si>
  <si>
    <t>%Hf</t>
  </si>
  <si>
    <t>hf result:</t>
  </si>
  <si>
    <t>hf oxide factor:</t>
  </si>
  <si>
    <t>hf oxide result:</t>
  </si>
  <si>
    <t>hf lot:</t>
  </si>
  <si>
    <t>Hs ICP analysis</t>
  </si>
  <si>
    <t>Hs_ppm</t>
  </si>
  <si>
    <t>%Hs</t>
  </si>
  <si>
    <t>hs result:</t>
  </si>
  <si>
    <t>hs lot:</t>
  </si>
  <si>
    <t>Manufacturer: Assurance, 28-6KY exp: 2026-08-30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</si>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</sst>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82"/>
  <sheetViews>
    <sheetView tabSelected="1" workbookViewId="0"/>
  </sheetViews>
  <sheetFormatPr defaultRowHeight="15"/>
  <cols>
    <col min="1" max="1" width="12.7109375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46201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5">
      <c r="A17" s="5" t="s">
        <v>19</v>
      </c>
      <c r="B17" s="8"/>
      <c r="C17" s="6"/>
    </row>
    <row r="18" spans="1:5">
      <c r="A18" s="5" t="s">
        <v>20</v>
      </c>
      <c r="B18" s="8"/>
      <c r="C18" s="6"/>
    </row>
    <row r="19" spans="1:5">
      <c r="A19" s="5" t="s">
        <v>21</v>
      </c>
      <c r="B19" s="8"/>
      <c r="C19" s="6"/>
    </row>
    <row r="20" spans="1:5">
      <c r="A20" s="5" t="s">
        <v>22</v>
      </c>
      <c r="B20" s="8"/>
      <c r="C20" s="6"/>
    </row>
    <row r="23" spans="1:5">
      <c r="A23" s="4" t="s">
        <v>3</v>
      </c>
      <c r="B23" s="4"/>
      <c r="C23" s="4"/>
      <c r="D23" s="4"/>
      <c r="E23" s="4"/>
    </row>
    <row r="24" spans="1:5">
      <c r="A24" s="5" t="s">
        <v>4</v>
      </c>
      <c r="B24" s="6" t="s">
        <v>23</v>
      </c>
      <c r="C24" s="6"/>
      <c r="D24" s="6"/>
      <c r="E24" s="6"/>
    </row>
    <row r="25" spans="1:5">
      <c r="A25" s="5" t="s">
        <v>6</v>
      </c>
      <c r="B25" s="6"/>
      <c r="C25" s="6"/>
      <c r="D25" s="6"/>
      <c r="E25" s="6"/>
    </row>
    <row r="26" spans="1:5">
      <c r="A26" s="5" t="s">
        <v>7</v>
      </c>
      <c r="B26" s="6"/>
      <c r="C26" s="6"/>
      <c r="D26" s="6"/>
      <c r="E26" s="6"/>
    </row>
    <row r="27" spans="1:5">
      <c r="A27" s="5" t="s">
        <v>8</v>
      </c>
      <c r="B27" s="7"/>
      <c r="C27" s="7"/>
      <c r="D27" s="7"/>
      <c r="E27" s="7"/>
    </row>
    <row r="28" spans="1:5">
      <c r="A28" s="5" t="s">
        <v>9</v>
      </c>
      <c r="B28" s="6"/>
      <c r="C28" s="6"/>
      <c r="D28" s="6"/>
      <c r="E28" s="6"/>
    </row>
    <row r="29" spans="1:5">
      <c r="A29" s="5" t="s">
        <v>10</v>
      </c>
      <c r="B29" s="7"/>
      <c r="C29" s="7"/>
      <c r="D29" s="7"/>
      <c r="E29" s="7"/>
    </row>
    <row r="30" spans="1:5">
      <c r="A30" s="5" t="s">
        <v>11</v>
      </c>
      <c r="B30" s="5" t="s">
        <v>12</v>
      </c>
      <c r="C30" s="5" t="s">
        <v>13</v>
      </c>
      <c r="D30" s="5" t="s">
        <v>14</v>
      </c>
      <c r="E30" s="5" t="s">
        <v>15</v>
      </c>
    </row>
    <row r="31" spans="1:5">
      <c r="A31" s="6">
        <v>15</v>
      </c>
      <c r="B31" s="6">
        <v>1200</v>
      </c>
      <c r="C31" s="6">
        <v>180</v>
      </c>
      <c r="D31" s="6">
        <v>65</v>
      </c>
      <c r="E31" s="6">
        <v>110</v>
      </c>
    </row>
    <row r="32" spans="1:5">
      <c r="A32" s="6">
        <v>15</v>
      </c>
      <c r="B32" s="6">
        <v>1500</v>
      </c>
      <c r="C32" s="6">
        <v>240</v>
      </c>
      <c r="D32" s="6">
        <v>65</v>
      </c>
      <c r="E32" s="6">
        <v>110</v>
      </c>
    </row>
    <row r="33" spans="1:5">
      <c r="A33" s="6"/>
      <c r="B33" s="6"/>
      <c r="C33" s="6"/>
      <c r="D33" s="6"/>
      <c r="E33" s="6"/>
    </row>
    <row r="34" spans="1:5">
      <c r="A34" s="5" t="s">
        <v>16</v>
      </c>
      <c r="B34" s="5" t="s">
        <v>17</v>
      </c>
      <c r="C34" s="5" t="s">
        <v>18</v>
      </c>
    </row>
    <row r="35" spans="1:5">
      <c r="A35" s="5" t="s">
        <v>19</v>
      </c>
      <c r="B35" s="8"/>
      <c r="C35" s="6"/>
    </row>
    <row r="36" spans="1:5">
      <c r="A36" s="5" t="s">
        <v>20</v>
      </c>
      <c r="B36" s="8"/>
      <c r="C36" s="6"/>
    </row>
    <row r="37" spans="1:5">
      <c r="A37" s="5" t="s">
        <v>21</v>
      </c>
      <c r="B37" s="8"/>
      <c r="C37" s="6"/>
    </row>
    <row r="38" spans="1:5">
      <c r="A38" s="5" t="s">
        <v>22</v>
      </c>
      <c r="B38" s="8"/>
      <c r="C38" s="6"/>
    </row>
    <row r="41" spans="1:5">
      <c r="A41" s="4" t="s">
        <v>24</v>
      </c>
      <c r="B41" s="4"/>
      <c r="C41" s="4"/>
    </row>
    <row r="42" spans="1:5">
      <c r="A42" s="5" t="s">
        <v>4</v>
      </c>
      <c r="B42" s="6" t="s">
        <v>25</v>
      </c>
      <c r="C42" s="6"/>
    </row>
    <row r="43" spans="1:5">
      <c r="A43" s="5" t="s">
        <v>6</v>
      </c>
      <c r="B43" s="6"/>
      <c r="C43" s="6"/>
    </row>
    <row r="44" spans="1:5">
      <c r="A44" s="5" t="s">
        <v>7</v>
      </c>
      <c r="B44" s="6"/>
      <c r="C44" s="6"/>
    </row>
    <row r="45" spans="1:5">
      <c r="A45" s="5" t="s">
        <v>16</v>
      </c>
      <c r="B45" s="5" t="s">
        <v>17</v>
      </c>
      <c r="C45" s="5" t="s">
        <v>18</v>
      </c>
    </row>
    <row r="46" spans="1:5">
      <c r="A46" s="5" t="s">
        <v>19</v>
      </c>
      <c r="B46" s="8"/>
      <c r="C46" s="6">
        <v>250</v>
      </c>
    </row>
    <row r="47" spans="1:5">
      <c r="A47" s="5" t="s">
        <v>20</v>
      </c>
      <c r="B47" s="8"/>
      <c r="C47" s="6">
        <v>250</v>
      </c>
    </row>
    <row r="48" spans="1:5">
      <c r="A48" s="5" t="s">
        <v>21</v>
      </c>
      <c r="B48" s="8"/>
      <c r="C48" s="6">
        <v>250</v>
      </c>
    </row>
    <row r="49" spans="1:3">
      <c r="A49" s="5" t="s">
        <v>22</v>
      </c>
      <c r="B49" s="8"/>
      <c r="C49" s="6">
        <v>250</v>
      </c>
    </row>
    <row r="52" spans="1:3">
      <c r="A52" s="4" t="s">
        <v>24</v>
      </c>
      <c r="B52" s="4"/>
      <c r="C52" s="4"/>
    </row>
    <row r="53" spans="1:3">
      <c r="A53" s="5" t="s">
        <v>4</v>
      </c>
      <c r="B53" s="6" t="s">
        <v>26</v>
      </c>
      <c r="C53" s="6"/>
    </row>
    <row r="54" spans="1:3">
      <c r="A54" s="5" t="s">
        <v>6</v>
      </c>
      <c r="B54" s="6"/>
      <c r="C54" s="6"/>
    </row>
    <row r="55" spans="1:3">
      <c r="A55" s="5" t="s">
        <v>7</v>
      </c>
      <c r="B55" s="6"/>
      <c r="C55" s="6"/>
    </row>
    <row r="56" spans="1:3">
      <c r="A56" s="5" t="s">
        <v>16</v>
      </c>
      <c r="B56" s="5" t="s">
        <v>17</v>
      </c>
      <c r="C56" s="5" t="s">
        <v>18</v>
      </c>
    </row>
    <row r="57" spans="1:3">
      <c r="A57" s="5" t="s">
        <v>19</v>
      </c>
      <c r="B57" s="8"/>
      <c r="C57" s="6">
        <v>250</v>
      </c>
    </row>
    <row r="58" spans="1:3">
      <c r="A58" s="5" t="s">
        <v>20</v>
      </c>
      <c r="B58" s="8"/>
      <c r="C58" s="6">
        <v>250</v>
      </c>
    </row>
    <row r="59" spans="1:3">
      <c r="A59" s="5" t="s">
        <v>21</v>
      </c>
      <c r="B59" s="8"/>
      <c r="C59" s="6">
        <v>250</v>
      </c>
    </row>
    <row r="60" spans="1:3">
      <c r="A60" s="5" t="s">
        <v>22</v>
      </c>
      <c r="B60" s="8"/>
      <c r="C60" s="6">
        <v>250</v>
      </c>
    </row>
    <row r="63" spans="1:3">
      <c r="A63" s="4" t="s">
        <v>27</v>
      </c>
      <c r="B63" s="4"/>
      <c r="C63" s="4"/>
    </row>
    <row r="64" spans="1:3">
      <c r="A64" s="5" t="s">
        <v>4</v>
      </c>
      <c r="B64" s="6" t="s">
        <v>28</v>
      </c>
      <c r="C64" s="6"/>
    </row>
    <row r="65" spans="1:3">
      <c r="A65" s="5" t="s">
        <v>6</v>
      </c>
      <c r="B65" s="6"/>
      <c r="C65" s="6"/>
    </row>
    <row r="66" spans="1:3">
      <c r="A66" s="5" t="s">
        <v>29</v>
      </c>
      <c r="B66" s="6"/>
      <c r="C66" s="6"/>
    </row>
    <row r="67" spans="1:3">
      <c r="A67" s="5" t="s">
        <v>16</v>
      </c>
      <c r="B67" s="5" t="s">
        <v>17</v>
      </c>
      <c r="C67" s="5" t="s">
        <v>18</v>
      </c>
    </row>
    <row r="68" spans="1:3">
      <c r="A68" s="5" t="s">
        <v>19</v>
      </c>
      <c r="B68" s="8"/>
      <c r="C68" s="6"/>
    </row>
    <row r="69" spans="1:3">
      <c r="A69" s="5" t="s">
        <v>20</v>
      </c>
      <c r="B69" s="8"/>
      <c r="C69" s="6"/>
    </row>
    <row r="70" spans="1:3">
      <c r="A70" s="5" t="s">
        <v>21</v>
      </c>
      <c r="B70" s="8"/>
      <c r="C70" s="6"/>
    </row>
    <row r="71" spans="1:3">
      <c r="A71" s="5" t="s">
        <v>22</v>
      </c>
      <c r="B71" s="8"/>
      <c r="C71" s="6"/>
    </row>
    <row r="74" spans="1:3">
      <c r="A74" s="4" t="s">
        <v>27</v>
      </c>
      <c r="B74" s="4"/>
      <c r="C74" s="4"/>
    </row>
    <row r="75" spans="1:3">
      <c r="A75" s="5" t="s">
        <v>4</v>
      </c>
      <c r="B75" s="6" t="s">
        <v>30</v>
      </c>
      <c r="C75" s="6"/>
    </row>
    <row r="76" spans="1:3">
      <c r="A76" s="5" t="s">
        <v>6</v>
      </c>
      <c r="B76" s="6"/>
      <c r="C76" s="6"/>
    </row>
    <row r="77" spans="1:3">
      <c r="A77" s="5" t="s">
        <v>29</v>
      </c>
      <c r="B77" s="6"/>
      <c r="C77" s="6"/>
    </row>
    <row r="78" spans="1:3">
      <c r="A78" s="5" t="s">
        <v>16</v>
      </c>
      <c r="B78" s="5" t="s">
        <v>17</v>
      </c>
      <c r="C78" s="5" t="s">
        <v>18</v>
      </c>
    </row>
    <row r="79" spans="1:3">
      <c r="A79" s="5" t="s">
        <v>19</v>
      </c>
      <c r="B79" s="8"/>
      <c r="C79" s="6"/>
    </row>
    <row r="80" spans="1:3">
      <c r="A80" s="5" t="s">
        <v>20</v>
      </c>
      <c r="B80" s="8"/>
      <c r="C80" s="6"/>
    </row>
    <row r="81" spans="1:3">
      <c r="A81" s="5" t="s">
        <v>21</v>
      </c>
      <c r="B81" s="8"/>
      <c r="C81" s="6"/>
    </row>
    <row r="82" spans="1:3">
      <c r="A82" s="5" t="s">
        <v>22</v>
      </c>
      <c r="B82" s="8"/>
      <c r="C82" s="6"/>
    </row>
  </sheetData>
  <mergeCells count="30">
    <mergeCell ref="A5:E5"/>
    <mergeCell ref="B6:E6"/>
    <mergeCell ref="B7:E7"/>
    <mergeCell ref="B8:E8"/>
    <mergeCell ref="B9:E9"/>
    <mergeCell ref="B10:E10"/>
    <mergeCell ref="B11:E11"/>
    <mergeCell ref="A23:E23"/>
    <mergeCell ref="B24:E24"/>
    <mergeCell ref="B25:E25"/>
    <mergeCell ref="B26:E26"/>
    <mergeCell ref="B27:E27"/>
    <mergeCell ref="B28:E28"/>
    <mergeCell ref="B29:E29"/>
    <mergeCell ref="A41:C41"/>
    <mergeCell ref="B42:C42"/>
    <mergeCell ref="B43:C43"/>
    <mergeCell ref="B44:C44"/>
    <mergeCell ref="A52:C52"/>
    <mergeCell ref="B53:C53"/>
    <mergeCell ref="B54:C54"/>
    <mergeCell ref="B55:C55"/>
    <mergeCell ref="A63:C63"/>
    <mergeCell ref="B64:C64"/>
    <mergeCell ref="B65:C65"/>
    <mergeCell ref="B66:C66"/>
    <mergeCell ref="A74:C74"/>
    <mergeCell ref="B75:C75"/>
    <mergeCell ref="B76:C76"/>
    <mergeCell ref="B77:C7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9"/>
  <sheetViews>
    <sheetView workbookViewId="0"/>
  </sheetViews>
  <sheetFormatPr defaultRowHeight="15"/>
  <cols>
    <col min="1" max="1" width="15.42578125" bestFit="1" customWidth="1"/>
    <col min="2" max="2" width="10.7109375" bestFit="1" customWidth="1"/>
    <col min="3" max="3" width="12.7109375" customWidth="1"/>
    <col min="4" max="4" width="8.85546875" bestFit="1" customWidth="1"/>
    <col min="5" max="59" width="7.7109375" customWidth="1"/>
  </cols>
  <sheetData>
    <row r="1" spans="1:9">
      <c r="A1" s="1" t="s">
        <v>0</v>
      </c>
      <c r="B1" s="2">
        <v>46201</v>
      </c>
    </row>
    <row r="2" spans="1:9">
      <c r="A2" s="1" t="s">
        <v>1</v>
      </c>
      <c r="B2" s="3" t="s">
        <v>2</v>
      </c>
    </row>
    <row r="5" spans="1:9">
      <c r="A5" s="3" t="s">
        <v>31</v>
      </c>
      <c r="B5" s="3"/>
    </row>
    <row r="6" spans="1:9">
      <c r="A6" s="5" t="s">
        <v>32</v>
      </c>
      <c r="B6" s="5" t="s">
        <v>33</v>
      </c>
      <c r="C6" s="5" t="s">
        <v>34</v>
      </c>
      <c r="D6" s="5" t="s">
        <v>35</v>
      </c>
      <c r="E6" s="5" t="s">
        <v>36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37</v>
      </c>
      <c r="B10" s="12"/>
      <c r="C10" s="13">
        <f>AVERAGE(D7:D8)</f>
        <v>0</v>
      </c>
    </row>
    <row r="11" spans="1:9">
      <c r="A11" s="12" t="s">
        <v>37</v>
      </c>
      <c r="B11" s="12"/>
      <c r="C11" s="14">
        <f>AVERAGE(E7:E8)</f>
        <v>0</v>
      </c>
    </row>
    <row r="12" spans="1:9">
      <c r="A12" s="12" t="s">
        <v>38</v>
      </c>
      <c r="B12" s="12"/>
      <c r="C12" s="3"/>
    </row>
    <row r="13" spans="1:9">
      <c r="A13" s="12" t="s">
        <v>39</v>
      </c>
      <c r="B13" s="12"/>
      <c r="C13" s="14">
        <f>AVERAGE(E7:E8)*(C12)</f>
        <v>0</v>
      </c>
    </row>
    <row r="14" spans="1:9">
      <c r="A14" s="12" t="s">
        <v>40</v>
      </c>
      <c r="B14" s="12"/>
      <c r="C14" s="15"/>
      <c r="D14" s="15"/>
      <c r="E14" s="15"/>
      <c r="F14" s="15"/>
    </row>
    <row r="16" spans="1:9">
      <c r="A16" s="3" t="s">
        <v>41</v>
      </c>
      <c r="B16" s="3"/>
    </row>
    <row r="17" spans="1:9">
      <c r="A17" s="5" t="s">
        <v>32</v>
      </c>
      <c r="B17" s="5" t="s">
        <v>33</v>
      </c>
      <c r="C17" s="5" t="s">
        <v>34</v>
      </c>
      <c r="D17" s="5" t="s">
        <v>42</v>
      </c>
      <c r="E17" s="5" t="s">
        <v>43</v>
      </c>
    </row>
    <row r="18" spans="1:9">
      <c r="A18" s="5" t="s">
        <v>19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digestion_page!B35</f>
        <v>0</v>
      </c>
      <c r="H18" s="11">
        <f>digestion_page!C35</f>
        <v>0</v>
      </c>
      <c r="I18" s="11">
        <f>(LEFT(B18,FIND("/",B18)-1)/RIGHT(B18,LEN(B18)-FIND("/", B18)))</f>
        <v>0</v>
      </c>
    </row>
    <row r="19" spans="1:9">
      <c r="A19" s="5" t="s">
        <v>20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digestion_page!B36</f>
        <v>0</v>
      </c>
      <c r="H19" s="11">
        <f>digestion_page!C36</f>
        <v>0</v>
      </c>
      <c r="I19" s="11">
        <f>(LEFT(B19,FIND("/",B19)-1)/RIGHT(B19,LEN(B19)-FIND("/", B19)))</f>
        <v>0</v>
      </c>
    </row>
    <row r="21" spans="1:9">
      <c r="A21" s="12" t="s">
        <v>44</v>
      </c>
      <c r="B21" s="12"/>
      <c r="C21" s="13">
        <f>AVERAGE(D18:D19)</f>
        <v>0</v>
      </c>
    </row>
    <row r="22" spans="1:9">
      <c r="A22" s="12" t="s">
        <v>44</v>
      </c>
      <c r="B22" s="12"/>
      <c r="C22" s="14">
        <f>AVERAGE(E18:E19)</f>
        <v>0</v>
      </c>
    </row>
    <row r="23" spans="1:9">
      <c r="A23" s="12" t="s">
        <v>45</v>
      </c>
      <c r="B23" s="12"/>
      <c r="C23" s="3"/>
    </row>
    <row r="24" spans="1:9">
      <c r="A24" s="12" t="s">
        <v>46</v>
      </c>
      <c r="B24" s="12"/>
      <c r="C24" s="14">
        <f>AVERAGE(E18:E19)*(C23)</f>
        <v>0</v>
      </c>
    </row>
    <row r="25" spans="1:9">
      <c r="A25" s="12" t="s">
        <v>47</v>
      </c>
      <c r="B25" s="12"/>
      <c r="C25" s="15"/>
      <c r="D25" s="15"/>
      <c r="E25" s="15"/>
      <c r="F25" s="15"/>
    </row>
    <row r="27" spans="1:9">
      <c r="A27" s="3" t="s">
        <v>48</v>
      </c>
      <c r="B27" s="3"/>
    </row>
    <row r="28" spans="1:9">
      <c r="A28" s="5" t="s">
        <v>32</v>
      </c>
      <c r="B28" s="5" t="s">
        <v>33</v>
      </c>
      <c r="C28" s="5" t="s">
        <v>34</v>
      </c>
      <c r="D28" s="5" t="s">
        <v>49</v>
      </c>
      <c r="E28" s="5" t="s">
        <v>50</v>
      </c>
    </row>
    <row r="29" spans="1:9">
      <c r="A29" s="5" t="s">
        <v>19</v>
      </c>
      <c r="B29" s="6">
        <f>"1/1"</f>
        <v>0</v>
      </c>
      <c r="C29" s="9"/>
      <c r="D29" s="10">
        <f>((C29)*(H29)*(I29))/(G29*1)</f>
        <v>0</v>
      </c>
      <c r="E29" s="10">
        <f>D29/10000</f>
        <v>0</v>
      </c>
      <c r="G29" s="11">
        <f>digestion_page!B46</f>
        <v>0</v>
      </c>
      <c r="H29" s="11">
        <f>digestion_page!C46</f>
        <v>0</v>
      </c>
      <c r="I29" s="11">
        <f>(LEFT(B29,FIND("/",B29)-1)/RIGHT(B29,LEN(B29)-FIND("/", B29)))</f>
        <v>0</v>
      </c>
    </row>
    <row r="30" spans="1:9">
      <c r="A30" s="5" t="s">
        <v>20</v>
      </c>
      <c r="B30" s="6">
        <f>"1/1"</f>
        <v>0</v>
      </c>
      <c r="C30" s="9"/>
      <c r="D30" s="10">
        <f>((C30)*(H30)*(I30))/(G30*1)</f>
        <v>0</v>
      </c>
      <c r="E30" s="10">
        <f>D30/10000</f>
        <v>0</v>
      </c>
      <c r="G30" s="11">
        <f>digestion_page!B47</f>
        <v>0</v>
      </c>
      <c r="H30" s="11">
        <f>digestion_page!C47</f>
        <v>0</v>
      </c>
      <c r="I30" s="11">
        <f>(LEFT(B30,FIND("/",B30)-1)/RIGHT(B30,LEN(B30)-FIND("/", B30)))</f>
        <v>0</v>
      </c>
    </row>
    <row r="32" spans="1:9">
      <c r="A32" s="12" t="s">
        <v>51</v>
      </c>
      <c r="B32" s="12"/>
      <c r="C32" s="13">
        <f>AVERAGE(D29:D30)</f>
        <v>0</v>
      </c>
    </row>
    <row r="33" spans="1:9">
      <c r="A33" s="12" t="s">
        <v>51</v>
      </c>
      <c r="B33" s="12"/>
      <c r="C33" s="14">
        <f>AVERAGE(E29:E30)</f>
        <v>0</v>
      </c>
    </row>
    <row r="34" spans="1:9">
      <c r="A34" s="12" t="s">
        <v>52</v>
      </c>
      <c r="B34" s="12"/>
      <c r="C34" s="3"/>
    </row>
    <row r="35" spans="1:9">
      <c r="A35" s="12" t="s">
        <v>53</v>
      </c>
      <c r="B35" s="12"/>
      <c r="C35" s="14">
        <f>AVERAGE(E29:E30)*(C34)</f>
        <v>0</v>
      </c>
    </row>
    <row r="36" spans="1:9">
      <c r="A36" s="12" t="s">
        <v>54</v>
      </c>
      <c r="B36" s="12"/>
      <c r="C36" s="15" t="s">
        <v>72</v>
      </c>
      <c r="D36" s="15"/>
      <c r="E36" s="15"/>
      <c r="F36" s="15"/>
    </row>
    <row r="38" spans="1:9">
      <c r="A38" s="3" t="s">
        <v>55</v>
      </c>
      <c r="B38" s="3"/>
    </row>
    <row r="39" spans="1:9">
      <c r="A39" s="5" t="s">
        <v>32</v>
      </c>
      <c r="B39" s="5" t="s">
        <v>33</v>
      </c>
      <c r="C39" s="5" t="s">
        <v>34</v>
      </c>
      <c r="D39" s="5" t="s">
        <v>56</v>
      </c>
      <c r="E39" s="5" t="s">
        <v>57</v>
      </c>
    </row>
    <row r="40" spans="1:9">
      <c r="A40" s="5" t="s">
        <v>19</v>
      </c>
      <c r="B40" s="6">
        <f>"1/1"</f>
        <v>0</v>
      </c>
      <c r="C40" s="9"/>
      <c r="D40" s="10">
        <f>((C40)*(H40)*(I40))/(G40*1)</f>
        <v>0</v>
      </c>
      <c r="E40" s="10">
        <f>D40/10000</f>
        <v>0</v>
      </c>
      <c r="G40" s="11">
        <f>digestion_page!B57</f>
        <v>0</v>
      </c>
      <c r="H40" s="11">
        <f>digestion_page!C57</f>
        <v>0</v>
      </c>
      <c r="I40" s="11">
        <f>(LEFT(B40,FIND("/",B40)-1)/RIGHT(B40,LEN(B40)-FIND("/", B40)))</f>
        <v>0</v>
      </c>
    </row>
    <row r="41" spans="1:9">
      <c r="A41" s="5" t="s">
        <v>20</v>
      </c>
      <c r="B41" s="6">
        <f>"1/1"</f>
        <v>0</v>
      </c>
      <c r="C41" s="9"/>
      <c r="D41" s="10">
        <f>((C41)*(H41)*(I41))/(G41*1)</f>
        <v>0</v>
      </c>
      <c r="E41" s="10">
        <f>D41/10000</f>
        <v>0</v>
      </c>
      <c r="G41" s="11">
        <f>digestion_page!B58</f>
        <v>0</v>
      </c>
      <c r="H41" s="11">
        <f>digestion_page!C58</f>
        <v>0</v>
      </c>
      <c r="I41" s="11">
        <f>(LEFT(B41,FIND("/",B41)-1)/RIGHT(B41,LEN(B41)-FIND("/", B41)))</f>
        <v>0</v>
      </c>
    </row>
    <row r="43" spans="1:9">
      <c r="A43" s="12" t="s">
        <v>58</v>
      </c>
      <c r="B43" s="12"/>
      <c r="C43" s="13">
        <f>AVERAGE(D40:D41)</f>
        <v>0</v>
      </c>
    </row>
    <row r="44" spans="1:9">
      <c r="A44" s="12" t="s">
        <v>58</v>
      </c>
      <c r="B44" s="12"/>
      <c r="C44" s="14">
        <f>AVERAGE(E40:E41)</f>
        <v>0</v>
      </c>
    </row>
    <row r="45" spans="1:9">
      <c r="A45" s="12" t="s">
        <v>59</v>
      </c>
      <c r="B45" s="12"/>
      <c r="C45" s="15"/>
      <c r="D45" s="15"/>
      <c r="E45" s="15"/>
      <c r="F45" s="15"/>
    </row>
    <row r="47" spans="1:9">
      <c r="A47" s="3" t="s">
        <v>60</v>
      </c>
      <c r="B47" s="3"/>
    </row>
    <row r="48" spans="1:9">
      <c r="A48" s="5" t="s">
        <v>32</v>
      </c>
      <c r="B48" s="5" t="s">
        <v>33</v>
      </c>
      <c r="C48" s="5" t="s">
        <v>34</v>
      </c>
      <c r="D48" s="5" t="s">
        <v>61</v>
      </c>
      <c r="E48" s="5" t="s">
        <v>62</v>
      </c>
    </row>
    <row r="49" spans="1:9">
      <c r="A49" s="5" t="s">
        <v>19</v>
      </c>
      <c r="B49" s="6">
        <f>"1/1"</f>
        <v>0</v>
      </c>
      <c r="C49" s="9"/>
      <c r="D49" s="10">
        <f>((C49)*(H49)*(I49))/(G49*1)</f>
        <v>0</v>
      </c>
      <c r="E49" s="10">
        <f>D49/10000</f>
        <v>0</v>
      </c>
      <c r="G49" s="11">
        <f>digestion_page!B68</f>
        <v>0</v>
      </c>
      <c r="H49" s="11">
        <f>digestion_page!C68</f>
        <v>0</v>
      </c>
      <c r="I49" s="11">
        <f>(LEFT(B49,FIND("/",B49)-1)/RIGHT(B49,LEN(B49)-FIND("/", B49)))</f>
        <v>0</v>
      </c>
    </row>
    <row r="50" spans="1:9">
      <c r="A50" s="5" t="s">
        <v>20</v>
      </c>
      <c r="B50" s="6">
        <f>"1/1"</f>
        <v>0</v>
      </c>
      <c r="C50" s="9"/>
      <c r="D50" s="10">
        <f>((C50)*(H50)*(I50))/(G50*1)</f>
        <v>0</v>
      </c>
      <c r="E50" s="10">
        <f>D50/10000</f>
        <v>0</v>
      </c>
      <c r="G50" s="11">
        <f>digestion_page!B69</f>
        <v>0</v>
      </c>
      <c r="H50" s="11">
        <f>digestion_page!C69</f>
        <v>0</v>
      </c>
      <c r="I50" s="11">
        <f>(LEFT(B50,FIND("/",B50)-1)/RIGHT(B50,LEN(B50)-FIND("/", B50)))</f>
        <v>0</v>
      </c>
    </row>
    <row r="52" spans="1:9">
      <c r="A52" s="12" t="s">
        <v>63</v>
      </c>
      <c r="B52" s="12"/>
      <c r="C52" s="13">
        <f>AVERAGE(D49:D50)</f>
        <v>0</v>
      </c>
    </row>
    <row r="53" spans="1:9">
      <c r="A53" s="12" t="s">
        <v>63</v>
      </c>
      <c r="B53" s="12"/>
      <c r="C53" s="14">
        <f>AVERAGE(E49:E50)</f>
        <v>0</v>
      </c>
    </row>
    <row r="54" spans="1:9">
      <c r="A54" s="12" t="s">
        <v>64</v>
      </c>
      <c r="B54" s="12"/>
      <c r="C54" s="3"/>
    </row>
    <row r="55" spans="1:9">
      <c r="A55" s="12" t="s">
        <v>65</v>
      </c>
      <c r="B55" s="12"/>
      <c r="C55" s="14">
        <f>AVERAGE(E49:E50)*(C54)</f>
        <v>0</v>
      </c>
    </row>
    <row r="56" spans="1:9">
      <c r="A56" s="12" t="s">
        <v>66</v>
      </c>
      <c r="B56" s="12"/>
      <c r="C56" s="15"/>
      <c r="D56" s="15"/>
      <c r="E56" s="15"/>
      <c r="F56" s="15"/>
    </row>
    <row r="58" spans="1:9">
      <c r="A58" s="3" t="s">
        <v>67</v>
      </c>
      <c r="B58" s="3"/>
    </row>
    <row r="59" spans="1:9">
      <c r="A59" s="5" t="s">
        <v>32</v>
      </c>
      <c r="B59" s="5" t="s">
        <v>33</v>
      </c>
      <c r="C59" s="5" t="s">
        <v>34</v>
      </c>
      <c r="D59" s="5" t="s">
        <v>68</v>
      </c>
      <c r="E59" s="5" t="s">
        <v>69</v>
      </c>
    </row>
    <row r="60" spans="1:9">
      <c r="A60" s="5" t="s">
        <v>19</v>
      </c>
      <c r="B60" s="6">
        <f>"1/1"</f>
        <v>0</v>
      </c>
      <c r="C60" s="9"/>
      <c r="D60" s="10">
        <f>((C60)*(H60)*(I60))/(G60*1)</f>
        <v>0</v>
      </c>
      <c r="E60" s="10">
        <f>D60/10000</f>
        <v>0</v>
      </c>
      <c r="G60" s="11">
        <f>digestion_page!B79</f>
        <v>0</v>
      </c>
      <c r="H60" s="11">
        <f>digestion_page!C79</f>
        <v>0</v>
      </c>
      <c r="I60" s="11">
        <f>(LEFT(B60,FIND("/",B60)-1)/RIGHT(B60,LEN(B60)-FIND("/", B60)))</f>
        <v>0</v>
      </c>
    </row>
    <row r="61" spans="1:9">
      <c r="A61" s="5" t="s">
        <v>20</v>
      </c>
      <c r="B61" s="6">
        <f>"1/1"</f>
        <v>0</v>
      </c>
      <c r="C61" s="9"/>
      <c r="D61" s="10">
        <f>((C61)*(H61)*(I61))/(G61*1)</f>
        <v>0</v>
      </c>
      <c r="E61" s="10">
        <f>D61/10000</f>
        <v>0</v>
      </c>
      <c r="G61" s="11">
        <f>digestion_page!B80</f>
        <v>0</v>
      </c>
      <c r="H61" s="11">
        <f>digestion_page!C80</f>
        <v>0</v>
      </c>
      <c r="I61" s="11">
        <f>(LEFT(B61,FIND("/",B61)-1)/RIGHT(B61,LEN(B61)-FIND("/", B61)))</f>
        <v>0</v>
      </c>
    </row>
    <row r="63" spans="1:9">
      <c r="A63" s="12" t="s">
        <v>70</v>
      </c>
      <c r="B63" s="12"/>
      <c r="C63" s="13">
        <f>AVERAGE(D60:D61)</f>
        <v>0</v>
      </c>
    </row>
    <row r="64" spans="1:9">
      <c r="A64" s="12" t="s">
        <v>70</v>
      </c>
      <c r="B64" s="12"/>
      <c r="C64" s="14">
        <f>AVERAGE(E60:E61)</f>
        <v>0</v>
      </c>
    </row>
    <row r="65" spans="1:6">
      <c r="A65" s="12" t="s">
        <v>71</v>
      </c>
      <c r="B65" s="12"/>
      <c r="C65" s="15"/>
      <c r="D65" s="15"/>
      <c r="E65" s="15"/>
      <c r="F65" s="15"/>
    </row>
    <row r="67" spans="1:6">
      <c r="B67" s="12" t="s">
        <v>73</v>
      </c>
      <c r="C67" s="16"/>
      <c r="D67" s="16"/>
      <c r="E67" s="16"/>
      <c r="F67" s="16"/>
    </row>
    <row r="68" spans="1:6">
      <c r="C68" s="16"/>
      <c r="D68" s="16"/>
      <c r="E68" s="16"/>
      <c r="F68" s="16"/>
    </row>
    <row r="69" spans="1:6">
      <c r="C69" s="16"/>
      <c r="D69" s="16"/>
      <c r="E69" s="16"/>
      <c r="F69" s="16"/>
    </row>
  </sheetData>
  <mergeCells count="39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A27:B27"/>
    <mergeCell ref="A32:B32"/>
    <mergeCell ref="A33:B33"/>
    <mergeCell ref="A34:B34"/>
    <mergeCell ref="A35:B35"/>
    <mergeCell ref="A36:B36"/>
    <mergeCell ref="C36:F36"/>
    <mergeCell ref="A38:B38"/>
    <mergeCell ref="A43:B43"/>
    <mergeCell ref="A44:B44"/>
    <mergeCell ref="A45:B45"/>
    <mergeCell ref="C45:F45"/>
    <mergeCell ref="A47:B47"/>
    <mergeCell ref="A52:B52"/>
    <mergeCell ref="A53:B53"/>
    <mergeCell ref="A54:B54"/>
    <mergeCell ref="A55:B55"/>
    <mergeCell ref="A56:B56"/>
    <mergeCell ref="C56:F56"/>
    <mergeCell ref="A58:B58"/>
    <mergeCell ref="A63:B63"/>
    <mergeCell ref="A64:B64"/>
    <mergeCell ref="A65:B65"/>
    <mergeCell ref="C65:F65"/>
    <mergeCell ref="C67:F6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conditionalFormatting sqref="C36:F36">
    <cfRule type="containsBlanks" dxfId="0" priority="3">
      <formula>LEN(TRIM(C36))=0</formula>
    </cfRule>
  </conditionalFormatting>
  <conditionalFormatting sqref="C45:F45">
    <cfRule type="containsBlanks" dxfId="0" priority="4">
      <formula>LEN(TRIM(C45))=0</formula>
    </cfRule>
  </conditionalFormatting>
  <conditionalFormatting sqref="C56:F56">
    <cfRule type="containsBlanks" dxfId="0" priority="5">
      <formula>LEN(TRIM(C56))=0</formula>
    </cfRule>
  </conditionalFormatting>
  <conditionalFormatting sqref="C65:F65">
    <cfRule type="containsBlanks" dxfId="0" priority="6">
      <formula>LEN(TRIM(C65))=0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69"/>
  <sheetViews>
    <sheetView workbookViewId="0"/>
  </sheetViews>
  <sheetFormatPr defaultRowHeight="15"/>
  <cols>
    <col min="1" max="1" width="15.42578125" bestFit="1" customWidth="1"/>
    <col min="2" max="2" width="10.7109375" bestFit="1" customWidth="1"/>
    <col min="3" max="3" width="12.7109375" customWidth="1"/>
    <col min="4" max="4" width="8.85546875" bestFit="1" customWidth="1"/>
    <col min="5" max="59" width="7.7109375" customWidth="1"/>
  </cols>
  <sheetData>
    <row r="1" spans="1:9">
      <c r="A1" s="1" t="s">
        <v>0</v>
      </c>
      <c r="B1" s="2">
        <v>46201</v>
      </c>
    </row>
    <row r="2" spans="1:9">
      <c r="A2" s="1" t="s">
        <v>1</v>
      </c>
      <c r="B2" s="3" t="s">
        <v>2</v>
      </c>
    </row>
    <row r="5" spans="1:9">
      <c r="A5" s="3" t="s">
        <v>31</v>
      </c>
      <c r="B5" s="3"/>
    </row>
    <row r="6" spans="1:9">
      <c r="A6" s="5" t="s">
        <v>32</v>
      </c>
      <c r="B6" s="5" t="s">
        <v>33</v>
      </c>
      <c r="C6" s="5" t="s">
        <v>34</v>
      </c>
      <c r="D6" s="5" t="s">
        <v>35</v>
      </c>
      <c r="E6" s="5" t="s">
        <v>36</v>
      </c>
    </row>
    <row r="7" spans="1:9">
      <c r="A7" s="5" t="s">
        <v>21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22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37</v>
      </c>
      <c r="B10" s="12"/>
      <c r="C10" s="13">
        <f>AVERAGE(D7:D8)</f>
        <v>0</v>
      </c>
    </row>
    <row r="11" spans="1:9">
      <c r="A11" s="12" t="s">
        <v>37</v>
      </c>
      <c r="B11" s="12"/>
      <c r="C11" s="14">
        <f>AVERAGE(E7:E8)</f>
        <v>0</v>
      </c>
    </row>
    <row r="12" spans="1:9">
      <c r="A12" s="12" t="s">
        <v>38</v>
      </c>
      <c r="B12" s="12"/>
      <c r="C12" s="3"/>
    </row>
    <row r="13" spans="1:9">
      <c r="A13" s="12" t="s">
        <v>39</v>
      </c>
      <c r="B13" s="12"/>
      <c r="C13" s="14">
        <f>AVERAGE(E7:E8)*(C12)</f>
        <v>0</v>
      </c>
    </row>
    <row r="14" spans="1:9">
      <c r="A14" s="12" t="s">
        <v>40</v>
      </c>
      <c r="B14" s="12"/>
      <c r="C14" s="15"/>
      <c r="D14" s="15"/>
      <c r="E14" s="15"/>
      <c r="F14" s="15"/>
    </row>
    <row r="16" spans="1:9">
      <c r="A16" s="3" t="s">
        <v>41</v>
      </c>
      <c r="B16" s="3"/>
    </row>
    <row r="17" spans="1:9">
      <c r="A17" s="5" t="s">
        <v>32</v>
      </c>
      <c r="B17" s="5" t="s">
        <v>33</v>
      </c>
      <c r="C17" s="5" t="s">
        <v>34</v>
      </c>
      <c r="D17" s="5" t="s">
        <v>42</v>
      </c>
      <c r="E17" s="5" t="s">
        <v>43</v>
      </c>
    </row>
    <row r="18" spans="1:9">
      <c r="A18" s="5" t="s">
        <v>21</v>
      </c>
      <c r="B18" s="6">
        <f>"1/1"</f>
        <v>0</v>
      </c>
      <c r="C18" s="9"/>
      <c r="D18" s="10">
        <f>((C18)*(H18)*(I18))/(G18*1)</f>
        <v>0</v>
      </c>
      <c r="E18" s="10">
        <f>D18/10000</f>
        <v>0</v>
      </c>
      <c r="G18" s="11">
        <f>digestion_page!B37</f>
        <v>0</v>
      </c>
      <c r="H18" s="11">
        <f>digestion_page!C37</f>
        <v>0</v>
      </c>
      <c r="I18" s="11">
        <f>(LEFT(B18,FIND("/",B18)-1)/RIGHT(B18,LEN(B18)-FIND("/", B18)))</f>
        <v>0</v>
      </c>
    </row>
    <row r="19" spans="1:9">
      <c r="A19" s="5" t="s">
        <v>22</v>
      </c>
      <c r="B19" s="6">
        <f>"1/1"</f>
        <v>0</v>
      </c>
      <c r="C19" s="9"/>
      <c r="D19" s="10">
        <f>((C19)*(H19)*(I19))/(G19*1)</f>
        <v>0</v>
      </c>
      <c r="E19" s="10">
        <f>D19/10000</f>
        <v>0</v>
      </c>
      <c r="G19" s="11">
        <f>digestion_page!B38</f>
        <v>0</v>
      </c>
      <c r="H19" s="11">
        <f>digestion_page!C38</f>
        <v>0</v>
      </c>
      <c r="I19" s="11">
        <f>(LEFT(B19,FIND("/",B19)-1)/RIGHT(B19,LEN(B19)-FIND("/", B19)))</f>
        <v>0</v>
      </c>
    </row>
    <row r="21" spans="1:9">
      <c r="A21" s="12" t="s">
        <v>44</v>
      </c>
      <c r="B21" s="12"/>
      <c r="C21" s="13">
        <f>AVERAGE(D18:D19)</f>
        <v>0</v>
      </c>
    </row>
    <row r="22" spans="1:9">
      <c r="A22" s="12" t="s">
        <v>44</v>
      </c>
      <c r="B22" s="12"/>
      <c r="C22" s="14">
        <f>AVERAGE(E18:E19)</f>
        <v>0</v>
      </c>
    </row>
    <row r="23" spans="1:9">
      <c r="A23" s="12" t="s">
        <v>45</v>
      </c>
      <c r="B23" s="12"/>
      <c r="C23" s="3"/>
    </row>
    <row r="24" spans="1:9">
      <c r="A24" s="12" t="s">
        <v>46</v>
      </c>
      <c r="B24" s="12"/>
      <c r="C24" s="14">
        <f>AVERAGE(E18:E19)*(C23)</f>
        <v>0</v>
      </c>
    </row>
    <row r="25" spans="1:9">
      <c r="A25" s="12" t="s">
        <v>47</v>
      </c>
      <c r="B25" s="12"/>
      <c r="C25" s="15"/>
      <c r="D25" s="15"/>
      <c r="E25" s="15"/>
      <c r="F25" s="15"/>
    </row>
    <row r="27" spans="1:9">
      <c r="A27" s="3" t="s">
        <v>48</v>
      </c>
      <c r="B27" s="3"/>
    </row>
    <row r="28" spans="1:9">
      <c r="A28" s="5" t="s">
        <v>32</v>
      </c>
      <c r="B28" s="5" t="s">
        <v>33</v>
      </c>
      <c r="C28" s="5" t="s">
        <v>34</v>
      </c>
      <c r="D28" s="5" t="s">
        <v>49</v>
      </c>
      <c r="E28" s="5" t="s">
        <v>50</v>
      </c>
    </row>
    <row r="29" spans="1:9">
      <c r="A29" s="5" t="s">
        <v>21</v>
      </c>
      <c r="B29" s="6">
        <f>"1/1"</f>
        <v>0</v>
      </c>
      <c r="C29" s="9"/>
      <c r="D29" s="10">
        <f>((C29)*(H29)*(I29))/(G29*1)</f>
        <v>0</v>
      </c>
      <c r="E29" s="10">
        <f>D29/10000</f>
        <v>0</v>
      </c>
      <c r="G29" s="11">
        <f>digestion_page!B48</f>
        <v>0</v>
      </c>
      <c r="H29" s="11">
        <f>digestion_page!C48</f>
        <v>0</v>
      </c>
      <c r="I29" s="11">
        <f>(LEFT(B29,FIND("/",B29)-1)/RIGHT(B29,LEN(B29)-FIND("/", B29)))</f>
        <v>0</v>
      </c>
    </row>
    <row r="30" spans="1:9">
      <c r="A30" s="5" t="s">
        <v>22</v>
      </c>
      <c r="B30" s="6">
        <f>"1/1"</f>
        <v>0</v>
      </c>
      <c r="C30" s="9"/>
      <c r="D30" s="10">
        <f>((C30)*(H30)*(I30))/(G30*1)</f>
        <v>0</v>
      </c>
      <c r="E30" s="10">
        <f>D30/10000</f>
        <v>0</v>
      </c>
      <c r="G30" s="11">
        <f>digestion_page!B49</f>
        <v>0</v>
      </c>
      <c r="H30" s="11">
        <f>digestion_page!C49</f>
        <v>0</v>
      </c>
      <c r="I30" s="11">
        <f>(LEFT(B30,FIND("/",B30)-1)/RIGHT(B30,LEN(B30)-FIND("/", B30)))</f>
        <v>0</v>
      </c>
    </row>
    <row r="32" spans="1:9">
      <c r="A32" s="12" t="s">
        <v>51</v>
      </c>
      <c r="B32" s="12"/>
      <c r="C32" s="13">
        <f>AVERAGE(D29:D30)</f>
        <v>0</v>
      </c>
    </row>
    <row r="33" spans="1:9">
      <c r="A33" s="12" t="s">
        <v>51</v>
      </c>
      <c r="B33" s="12"/>
      <c r="C33" s="14">
        <f>AVERAGE(E29:E30)</f>
        <v>0</v>
      </c>
    </row>
    <row r="34" spans="1:9">
      <c r="A34" s="12" t="s">
        <v>52</v>
      </c>
      <c r="B34" s="12"/>
      <c r="C34" s="3"/>
    </row>
    <row r="35" spans="1:9">
      <c r="A35" s="12" t="s">
        <v>53</v>
      </c>
      <c r="B35" s="12"/>
      <c r="C35" s="14">
        <f>AVERAGE(E29:E30)*(C34)</f>
        <v>0</v>
      </c>
    </row>
    <row r="36" spans="1:9">
      <c r="A36" s="12" t="s">
        <v>54</v>
      </c>
      <c r="B36" s="12"/>
      <c r="C36" s="15" t="s">
        <v>72</v>
      </c>
      <c r="D36" s="15"/>
      <c r="E36" s="15"/>
      <c r="F36" s="15"/>
    </row>
    <row r="38" spans="1:9">
      <c r="A38" s="3" t="s">
        <v>55</v>
      </c>
      <c r="B38" s="3"/>
    </row>
    <row r="39" spans="1:9">
      <c r="A39" s="5" t="s">
        <v>32</v>
      </c>
      <c r="B39" s="5" t="s">
        <v>33</v>
      </c>
      <c r="C39" s="5" t="s">
        <v>34</v>
      </c>
      <c r="D39" s="5" t="s">
        <v>56</v>
      </c>
      <c r="E39" s="5" t="s">
        <v>57</v>
      </c>
    </row>
    <row r="40" spans="1:9">
      <c r="A40" s="5" t="s">
        <v>21</v>
      </c>
      <c r="B40" s="6">
        <f>"1/1"</f>
        <v>0</v>
      </c>
      <c r="C40" s="9"/>
      <c r="D40" s="10">
        <f>((C40)*(H40)*(I40))/(G40*1)</f>
        <v>0</v>
      </c>
      <c r="E40" s="10">
        <f>D40/10000</f>
        <v>0</v>
      </c>
      <c r="G40" s="11">
        <f>digestion_page!B59</f>
        <v>0</v>
      </c>
      <c r="H40" s="11">
        <f>digestion_page!C59</f>
        <v>0</v>
      </c>
      <c r="I40" s="11">
        <f>(LEFT(B40,FIND("/",B40)-1)/RIGHT(B40,LEN(B40)-FIND("/", B40)))</f>
        <v>0</v>
      </c>
    </row>
    <row r="41" spans="1:9">
      <c r="A41" s="5" t="s">
        <v>22</v>
      </c>
      <c r="B41" s="6">
        <f>"1/1"</f>
        <v>0</v>
      </c>
      <c r="C41" s="9"/>
      <c r="D41" s="10">
        <f>((C41)*(H41)*(I41))/(G41*1)</f>
        <v>0</v>
      </c>
      <c r="E41" s="10">
        <f>D41/10000</f>
        <v>0</v>
      </c>
      <c r="G41" s="11">
        <f>digestion_page!B60</f>
        <v>0</v>
      </c>
      <c r="H41" s="11">
        <f>digestion_page!C60</f>
        <v>0</v>
      </c>
      <c r="I41" s="11">
        <f>(LEFT(B41,FIND("/",B41)-1)/RIGHT(B41,LEN(B41)-FIND("/", B41)))</f>
        <v>0</v>
      </c>
    </row>
    <row r="43" spans="1:9">
      <c r="A43" s="12" t="s">
        <v>58</v>
      </c>
      <c r="B43" s="12"/>
      <c r="C43" s="13">
        <f>AVERAGE(D40:D41)</f>
        <v>0</v>
      </c>
    </row>
    <row r="44" spans="1:9">
      <c r="A44" s="12" t="s">
        <v>58</v>
      </c>
      <c r="B44" s="12"/>
      <c r="C44" s="14">
        <f>AVERAGE(E40:E41)</f>
        <v>0</v>
      </c>
    </row>
    <row r="45" spans="1:9">
      <c r="A45" s="12" t="s">
        <v>59</v>
      </c>
      <c r="B45" s="12"/>
      <c r="C45" s="15"/>
      <c r="D45" s="15"/>
      <c r="E45" s="15"/>
      <c r="F45" s="15"/>
    </row>
    <row r="47" spans="1:9">
      <c r="A47" s="3" t="s">
        <v>60</v>
      </c>
      <c r="B47" s="3"/>
    </row>
    <row r="48" spans="1:9">
      <c r="A48" s="5" t="s">
        <v>32</v>
      </c>
      <c r="B48" s="5" t="s">
        <v>33</v>
      </c>
      <c r="C48" s="5" t="s">
        <v>34</v>
      </c>
      <c r="D48" s="5" t="s">
        <v>61</v>
      </c>
      <c r="E48" s="5" t="s">
        <v>62</v>
      </c>
    </row>
    <row r="49" spans="1:9">
      <c r="A49" s="5" t="s">
        <v>21</v>
      </c>
      <c r="B49" s="6">
        <f>"1/1"</f>
        <v>0</v>
      </c>
      <c r="C49" s="9"/>
      <c r="D49" s="10">
        <f>((C49)*(H49)*(I49))/(G49*1)</f>
        <v>0</v>
      </c>
      <c r="E49" s="10">
        <f>D49/10000</f>
        <v>0</v>
      </c>
      <c r="G49" s="11">
        <f>digestion_page!B70</f>
        <v>0</v>
      </c>
      <c r="H49" s="11">
        <f>digestion_page!C70</f>
        <v>0</v>
      </c>
      <c r="I49" s="11">
        <f>(LEFT(B49,FIND("/",B49)-1)/RIGHT(B49,LEN(B49)-FIND("/", B49)))</f>
        <v>0</v>
      </c>
    </row>
    <row r="50" spans="1:9">
      <c r="A50" s="5" t="s">
        <v>22</v>
      </c>
      <c r="B50" s="6">
        <f>"1/1"</f>
        <v>0</v>
      </c>
      <c r="C50" s="9"/>
      <c r="D50" s="10">
        <f>((C50)*(H50)*(I50))/(G50*1)</f>
        <v>0</v>
      </c>
      <c r="E50" s="10">
        <f>D50/10000</f>
        <v>0</v>
      </c>
      <c r="G50" s="11">
        <f>digestion_page!B71</f>
        <v>0</v>
      </c>
      <c r="H50" s="11">
        <f>digestion_page!C71</f>
        <v>0</v>
      </c>
      <c r="I50" s="11">
        <f>(LEFT(B50,FIND("/",B50)-1)/RIGHT(B50,LEN(B50)-FIND("/", B50)))</f>
        <v>0</v>
      </c>
    </row>
    <row r="52" spans="1:9">
      <c r="A52" s="12" t="s">
        <v>63</v>
      </c>
      <c r="B52" s="12"/>
      <c r="C52" s="13">
        <f>AVERAGE(D49:D50)</f>
        <v>0</v>
      </c>
    </row>
    <row r="53" spans="1:9">
      <c r="A53" s="12" t="s">
        <v>63</v>
      </c>
      <c r="B53" s="12"/>
      <c r="C53" s="14">
        <f>AVERAGE(E49:E50)</f>
        <v>0</v>
      </c>
    </row>
    <row r="54" spans="1:9">
      <c r="A54" s="12" t="s">
        <v>64</v>
      </c>
      <c r="B54" s="12"/>
      <c r="C54" s="3"/>
    </row>
    <row r="55" spans="1:9">
      <c r="A55" s="12" t="s">
        <v>65</v>
      </c>
      <c r="B55" s="12"/>
      <c r="C55" s="14">
        <f>AVERAGE(E49:E50)*(C54)</f>
        <v>0</v>
      </c>
    </row>
    <row r="56" spans="1:9">
      <c r="A56" s="12" t="s">
        <v>66</v>
      </c>
      <c r="B56" s="12"/>
      <c r="C56" s="15"/>
      <c r="D56" s="15"/>
      <c r="E56" s="15"/>
      <c r="F56" s="15"/>
    </row>
    <row r="58" spans="1:9">
      <c r="A58" s="3" t="s">
        <v>67</v>
      </c>
      <c r="B58" s="3"/>
    </row>
    <row r="59" spans="1:9">
      <c r="A59" s="5" t="s">
        <v>32</v>
      </c>
      <c r="B59" s="5" t="s">
        <v>33</v>
      </c>
      <c r="C59" s="5" t="s">
        <v>34</v>
      </c>
      <c r="D59" s="5" t="s">
        <v>68</v>
      </c>
      <c r="E59" s="5" t="s">
        <v>69</v>
      </c>
    </row>
    <row r="60" spans="1:9">
      <c r="A60" s="5" t="s">
        <v>21</v>
      </c>
      <c r="B60" s="6">
        <f>"1/1"</f>
        <v>0</v>
      </c>
      <c r="C60" s="9"/>
      <c r="D60" s="10">
        <f>((C60)*(H60)*(I60))/(G60*1)</f>
        <v>0</v>
      </c>
      <c r="E60" s="10">
        <f>D60/10000</f>
        <v>0</v>
      </c>
      <c r="G60" s="11">
        <f>digestion_page!B81</f>
        <v>0</v>
      </c>
      <c r="H60" s="11">
        <f>digestion_page!C81</f>
        <v>0</v>
      </c>
      <c r="I60" s="11">
        <f>(LEFT(B60,FIND("/",B60)-1)/RIGHT(B60,LEN(B60)-FIND("/", B60)))</f>
        <v>0</v>
      </c>
    </row>
    <row r="61" spans="1:9">
      <c r="A61" s="5" t="s">
        <v>22</v>
      </c>
      <c r="B61" s="6">
        <f>"1/1"</f>
        <v>0</v>
      </c>
      <c r="C61" s="9"/>
      <c r="D61" s="10">
        <f>((C61)*(H61)*(I61))/(G61*1)</f>
        <v>0</v>
      </c>
      <c r="E61" s="10">
        <f>D61/10000</f>
        <v>0</v>
      </c>
      <c r="G61" s="11">
        <f>digestion_page!B82</f>
        <v>0</v>
      </c>
      <c r="H61" s="11">
        <f>digestion_page!C82</f>
        <v>0</v>
      </c>
      <c r="I61" s="11">
        <f>(LEFT(B61,FIND("/",B61)-1)/RIGHT(B61,LEN(B61)-FIND("/", B61)))</f>
        <v>0</v>
      </c>
    </row>
    <row r="63" spans="1:9">
      <c r="A63" s="12" t="s">
        <v>70</v>
      </c>
      <c r="B63" s="12"/>
      <c r="C63" s="13">
        <f>AVERAGE(D60:D61)</f>
        <v>0</v>
      </c>
    </row>
    <row r="64" spans="1:9">
      <c r="A64" s="12" t="s">
        <v>70</v>
      </c>
      <c r="B64" s="12"/>
      <c r="C64" s="14">
        <f>AVERAGE(E60:E61)</f>
        <v>0</v>
      </c>
    </row>
    <row r="65" spans="1:6">
      <c r="A65" s="12" t="s">
        <v>71</v>
      </c>
      <c r="B65" s="12"/>
      <c r="C65" s="15"/>
      <c r="D65" s="15"/>
      <c r="E65" s="15"/>
      <c r="F65" s="15"/>
    </row>
    <row r="67" spans="1:6">
      <c r="B67" s="12" t="s">
        <v>73</v>
      </c>
      <c r="C67" s="16"/>
      <c r="D67" s="16"/>
      <c r="E67" s="16"/>
      <c r="F67" s="16"/>
    </row>
    <row r="68" spans="1:6">
      <c r="C68" s="16"/>
      <c r="D68" s="16"/>
      <c r="E68" s="16"/>
      <c r="F68" s="16"/>
    </row>
    <row r="69" spans="1:6">
      <c r="C69" s="16"/>
      <c r="D69" s="16"/>
      <c r="E69" s="16"/>
      <c r="F69" s="16"/>
    </row>
  </sheetData>
  <mergeCells count="39">
    <mergeCell ref="A5:B5"/>
    <mergeCell ref="A10:B10"/>
    <mergeCell ref="A11:B11"/>
    <mergeCell ref="A12:B12"/>
    <mergeCell ref="A13:B13"/>
    <mergeCell ref="A14:B14"/>
    <mergeCell ref="C14:F14"/>
    <mergeCell ref="A16:B16"/>
    <mergeCell ref="A21:B21"/>
    <mergeCell ref="A22:B22"/>
    <mergeCell ref="A23:B23"/>
    <mergeCell ref="A24:B24"/>
    <mergeCell ref="A25:B25"/>
    <mergeCell ref="C25:F25"/>
    <mergeCell ref="A27:B27"/>
    <mergeCell ref="A32:B32"/>
    <mergeCell ref="A33:B33"/>
    <mergeCell ref="A34:B34"/>
    <mergeCell ref="A35:B35"/>
    <mergeCell ref="A36:B36"/>
    <mergeCell ref="C36:F36"/>
    <mergeCell ref="A38:B38"/>
    <mergeCell ref="A43:B43"/>
    <mergeCell ref="A44:B44"/>
    <mergeCell ref="A45:B45"/>
    <mergeCell ref="C45:F45"/>
    <mergeCell ref="A47:B47"/>
    <mergeCell ref="A52:B52"/>
    <mergeCell ref="A53:B53"/>
    <mergeCell ref="A54:B54"/>
    <mergeCell ref="A55:B55"/>
    <mergeCell ref="A56:B56"/>
    <mergeCell ref="C56:F56"/>
    <mergeCell ref="A58:B58"/>
    <mergeCell ref="A63:B63"/>
    <mergeCell ref="A64:B64"/>
    <mergeCell ref="A65:B65"/>
    <mergeCell ref="C65:F65"/>
    <mergeCell ref="C67:F69"/>
  </mergeCells>
  <conditionalFormatting sqref="C14:F14">
    <cfRule type="containsBlanks" dxfId="0" priority="1">
      <formula>LEN(TRIM(C14))=0</formula>
    </cfRule>
  </conditionalFormatting>
  <conditionalFormatting sqref="C25:F25">
    <cfRule type="containsBlanks" dxfId="0" priority="2">
      <formula>LEN(TRIM(C25))=0</formula>
    </cfRule>
  </conditionalFormatting>
  <conditionalFormatting sqref="C36:F36">
    <cfRule type="containsBlanks" dxfId="0" priority="3">
      <formula>LEN(TRIM(C36))=0</formula>
    </cfRule>
  </conditionalFormatting>
  <conditionalFormatting sqref="C45:F45">
    <cfRule type="containsBlanks" dxfId="0" priority="4">
      <formula>LEN(TRIM(C45))=0</formula>
    </cfRule>
  </conditionalFormatting>
  <conditionalFormatting sqref="C56:F56">
    <cfRule type="containsBlanks" dxfId="0" priority="5">
      <formula>LEN(TRIM(C56))=0</formula>
    </cfRule>
  </conditionalFormatting>
  <conditionalFormatting sqref="C65:F65">
    <cfRule type="containsBlanks" dxfId="0" priority="6">
      <formula>LEN(TRIM(C65))=0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74</v>
      </c>
    </row>
    <row r="3" spans="1:1">
      <c r="A3" s="17" t="s">
        <v>75</v>
      </c>
    </row>
    <row r="5" spans="1:1">
      <c r="A5" s="17" t="s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2026-06-29T02:41:49Z</dcterms:created>
  <dcterms:modified xsi:type="dcterms:W3CDTF">2026-06-29T02:41:49Z</dcterms:modified>
</cp:coreProperties>
</file>