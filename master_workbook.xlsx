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<sst xmlns="http://schemas.openxmlformats.org/spreadsheetml/2006/main" count="41" uniqueCount="35">
  <si>
    <t>Date:</t>
  </si>
  <si>
    <t>Request ID:</t>
  </si>
  <si>
    <t>1000</t>
  </si>
  <si>
    <t>Microwave</t>
  </si>
  <si>
    <t>Analyte(s)</t>
  </si>
  <si>
    <t>Ca</t>
  </si>
  <si>
    <t>SOP#</t>
  </si>
  <si>
    <t>Acid Cocktail</t>
  </si>
  <si>
    <t>Base Load</t>
  </si>
  <si>
    <t>125 mL H2O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</si>
  <si>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</si>
  <si>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</si>
  <si>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</si>
  <si>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</si>
  <si>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</si>
  <si>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</si>
  <si>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</si>
  <si>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</si>
  <si>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</si>
  <si>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</si>
  <si>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</si>
  <si>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20012_1</t>
  </si>
  <si>
    <t>20012_2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</si>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</sst>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cols>
    <col min="1" max="1" width="12.28515625" bestFit="1" customWidth="1"/>
    <col min="2" max="2" width="11.140625" bestFit="1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46259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6" t="s">
        <v>9</v>
      </c>
      <c r="C9" s="6"/>
      <c r="D9" s="6"/>
      <c r="E9" s="6"/>
    </row>
    <row r="10" spans="1:5">
      <c r="A10" s="5" t="s">
        <v>10</v>
      </c>
      <c r="B10" s="7"/>
      <c r="C10" s="7"/>
      <c r="D10" s="7"/>
      <c r="E10" s="7"/>
    </row>
    <row r="11" spans="1:5">
      <c r="A11" s="5" t="s">
        <v>11</v>
      </c>
      <c r="B11" s="6"/>
      <c r="C11" s="6"/>
      <c r="D11" s="6"/>
      <c r="E11" s="6"/>
    </row>
    <row r="12" spans="1:5">
      <c r="A12" s="5" t="s">
        <v>12</v>
      </c>
      <c r="B12" s="7"/>
      <c r="C12" s="7"/>
      <c r="D12" s="7"/>
      <c r="E12" s="7"/>
    </row>
    <row r="13" spans="1:5">
      <c r="A13" s="5" t="s">
        <v>13</v>
      </c>
      <c r="B13" s="5" t="s">
        <v>14</v>
      </c>
      <c r="C13" s="5" t="s">
        <v>15</v>
      </c>
      <c r="D13" s="5" t="s">
        <v>16</v>
      </c>
      <c r="E13" s="5" t="s">
        <v>17</v>
      </c>
    </row>
    <row r="14" spans="1:5">
      <c r="A14" s="6">
        <v>15</v>
      </c>
      <c r="B14" s="6">
        <v>1200</v>
      </c>
      <c r="C14" s="6">
        <v>180</v>
      </c>
      <c r="D14" s="6">
        <v>65</v>
      </c>
      <c r="E14" s="6">
        <v>110</v>
      </c>
    </row>
    <row r="15" spans="1:5">
      <c r="A15" s="6">
        <v>15</v>
      </c>
      <c r="B15" s="6">
        <v>1500</v>
      </c>
      <c r="C15" s="6">
        <v>240</v>
      </c>
      <c r="D15" s="6">
        <v>65</v>
      </c>
      <c r="E15" s="6">
        <v>110</v>
      </c>
    </row>
    <row r="16" spans="1:5">
      <c r="A16" s="6"/>
      <c r="B16" s="6"/>
      <c r="C16" s="6"/>
      <c r="D16" s="6"/>
      <c r="E16" s="6"/>
    </row>
    <row r="17" spans="1:3">
      <c r="A17" s="5" t="s">
        <v>18</v>
      </c>
      <c r="B17" s="5" t="s">
        <v>19</v>
      </c>
      <c r="C17" s="5" t="s">
        <v>20</v>
      </c>
    </row>
    <row r="18" spans="1:3">
      <c r="A18" s="5" t="s">
        <v>21</v>
      </c>
      <c r="B18" s="8"/>
      <c r="C18" s="6"/>
    </row>
    <row r="19" spans="1:3">
      <c r="A19" s="5" t="s">
        <v>22</v>
      </c>
      <c r="B19" s="8"/>
      <c r="C19" s="6"/>
    </row>
  </sheetData>
  <mergeCells count="8">
    <mergeCell ref="A5:E5"/>
    <mergeCell ref="B6:E6"/>
    <mergeCell ref="B7:E7"/>
    <mergeCell ref="B8:E8"/>
    <mergeCell ref="B9:E9"/>
    <mergeCell ref="B10:E10"/>
    <mergeCell ref="B11:E11"/>
    <mergeCell ref="B12:E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8554687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46259</v>
      </c>
    </row>
    <row r="2" spans="1:9">
      <c r="A2" s="1" t="s">
        <v>1</v>
      </c>
      <c r="B2" s="3" t="s">
        <v>2</v>
      </c>
    </row>
    <row r="5" spans="1:9">
      <c r="A5" s="3" t="s">
        <v>23</v>
      </c>
      <c r="B5" s="3"/>
    </row>
    <row r="6" spans="1:9">
      <c r="A6" s="5" t="s">
        <v>24</v>
      </c>
      <c r="B6" s="5" t="s">
        <v>25</v>
      </c>
      <c r="C6" s="5" t="s">
        <v>26</v>
      </c>
      <c r="D6" s="5" t="s">
        <v>27</v>
      </c>
      <c r="E6" s="5" t="s">
        <v>28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digestion_page!B18</f>
        <v>0</v>
      </c>
      <c r="H7" s="11">
        <f>digestion_page!C18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digestion_page!B19</f>
        <v>0</v>
      </c>
      <c r="H8" s="11">
        <f>digestion_page!C19</f>
        <v>0</v>
      </c>
      <c r="I8" s="11">
        <f>(LEFT(B8,FIND("/",B8)-1)/RIGHT(B8,LEN(B8)-FIND("/", B8)))</f>
        <v>0</v>
      </c>
    </row>
    <row r="10" spans="1:9">
      <c r="A10" s="12" t="s">
        <v>29</v>
      </c>
      <c r="B10" s="12"/>
      <c r="C10" s="13">
        <f>AVERAGE(D7:D8)</f>
        <v>0</v>
      </c>
    </row>
    <row r="11" spans="1:9">
      <c r="A11" s="12" t="s">
        <v>29</v>
      </c>
      <c r="B11" s="12"/>
      <c r="C11" s="14">
        <f>AVERAGE(E7:E8)</f>
        <v>0</v>
      </c>
    </row>
    <row r="12" spans="1:9">
      <c r="A12" s="12" t="s">
        <v>30</v>
      </c>
      <c r="B12" s="12"/>
      <c r="C12" s="15" t="s">
        <v>31</v>
      </c>
      <c r="D12" s="15"/>
      <c r="E12" s="15"/>
      <c r="F12" s="15"/>
    </row>
    <row r="14" spans="1:9">
      <c r="B14" s="12" t="s">
        <v>32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33</v>
      </c>
    </row>
    <row r="3" spans="1:1">
      <c r="A3" s="17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2026-08-25T12:49:32Z</dcterms:created>
  <dcterms:modified xsi:type="dcterms:W3CDTF">2026-08-25T12:49:32Z</dcterms:modified>
</cp:coreProperties>
</file>