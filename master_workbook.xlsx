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<sst xmlns="http://schemas.openxmlformats.org/spreadsheetml/2006/main" count="61" uniqueCount="43">
  <si>
    <t>Date:</t>
  </si>
  <si>
    <t>Request ID:</t>
  </si>
  <si>
    <t>100048800</t>
  </si>
  <si>
    <t>Microwave</t>
  </si>
  <si>
    <t>Analyte(s)</t>
  </si>
  <si>
    <t>Ti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</si>
  <si>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</si>
  <si>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</si>
  <si>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</si>
  <si>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</si>
  <si>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</si>
  <si>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</si>
  <si>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</si>
  <si>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</si>
  <si>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</si>
  <si>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</si>
  <si>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</si>
  <si>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</si>
  <si>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</si>
  <si>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200120001_1</t>
  </si>
  <si>
    <t>200120001_2</t>
  </si>
  <si>
    <t>Hotplate</t>
  </si>
  <si>
    <t>Cr2O3</t>
  </si>
  <si>
    <t>Cocktail</t>
  </si>
  <si>
    <t>Cr2O3 titration analysis</t>
  </si>
  <si>
    <t>sample</t>
  </si>
  <si>
    <t>titrant_volume (mL)</t>
  </si>
  <si>
    <t>%Cr2O3</t>
  </si>
  <si>
    <t>FAS:</t>
  </si>
  <si>
    <t>cr2o3 result:</t>
  </si>
  <si>
    <t>Ti ICP analysis</t>
  </si>
  <si>
    <t>Dilution</t>
  </si>
  <si>
    <t>conc. [mg/L]</t>
  </si>
  <si>
    <t>Ti_ppm</t>
  </si>
  <si>
    <t>%Ti</t>
  </si>
  <si>
    <t>ti result:</t>
  </si>
  <si>
    <t>ti lot:</t>
  </si>
  <si>
    <t>Note(s):</t>
  </si>
  <si>
    <t>ppm M+ = [conc.][volume][dilution]/[weight]</t>
  </si>
  <si>
    <t>%M+ = [conc.][volume][dilution]/([weight]*10,000)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</si>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</sst>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0.00000"/>
    <numFmt numFmtId="167" formatCode="0.000"/>
    <numFmt numFmtId="168" formatCode="0.00&quot; ppm&quot;"/>
    <numFmt numFmtId="169" formatCode="0.00&quot; %&quot;"/>
    <numFmt numFmtId="170" formatCode="0.0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170" fontId="0" fillId="0" borderId="1" xfId="0" applyNumberFormat="1" applyBorder="1"/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7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46266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21" spans="1:3">
      <c r="A21" s="4" t="s">
        <v>21</v>
      </c>
      <c r="B21" s="4"/>
      <c r="C21" s="4"/>
    </row>
    <row r="22" spans="1:3">
      <c r="A22" s="5" t="s">
        <v>4</v>
      </c>
      <c r="B22" s="6" t="s">
        <v>22</v>
      </c>
      <c r="C22" s="6"/>
    </row>
    <row r="23" spans="1:3">
      <c r="A23" s="5" t="s">
        <v>6</v>
      </c>
      <c r="B23" s="6"/>
      <c r="C23" s="6"/>
    </row>
    <row r="24" spans="1:3">
      <c r="A24" s="5" t="s">
        <v>23</v>
      </c>
      <c r="B24" s="6"/>
      <c r="C24" s="6"/>
    </row>
    <row r="25" spans="1:3">
      <c r="A25" s="5" t="s">
        <v>16</v>
      </c>
      <c r="B25" s="5" t="s">
        <v>17</v>
      </c>
      <c r="C25" s="5" t="s">
        <v>18</v>
      </c>
    </row>
    <row r="26" spans="1:3">
      <c r="A26" s="5" t="s">
        <v>19</v>
      </c>
      <c r="B26" s="8"/>
      <c r="C26" s="6"/>
    </row>
    <row r="27" spans="1:3">
      <c r="A27" s="5" t="s">
        <v>20</v>
      </c>
      <c r="B27" s="8"/>
      <c r="C27" s="6"/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1:C21"/>
    <mergeCell ref="B22:C22"/>
    <mergeCell ref="B23:C23"/>
    <mergeCell ref="B24:C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  <col min="5" max="15" width="7.7109375" customWidth="1"/>
  </cols>
  <sheetData>
    <row r="1" spans="1:9">
      <c r="A1" s="1" t="s">
        <v>0</v>
      </c>
      <c r="B1" s="2">
        <v>46266</v>
      </c>
    </row>
    <row r="2" spans="1:9">
      <c r="A2" s="1" t="s">
        <v>1</v>
      </c>
      <c r="B2" s="3" t="s">
        <v>2</v>
      </c>
    </row>
    <row r="5" spans="1:9">
      <c r="A5" s="3" t="s">
        <v>24</v>
      </c>
      <c r="B5" s="3"/>
    </row>
    <row r="6" spans="1:9">
      <c r="A6" s="5" t="s">
        <v>25</v>
      </c>
      <c r="B6" s="5" t="s">
        <v>17</v>
      </c>
      <c r="C6" s="5" t="s">
        <v>26</v>
      </c>
      <c r="D6" s="5" t="s">
        <v>27</v>
      </c>
    </row>
    <row r="7" spans="1:9">
      <c r="A7" s="5" t="s">
        <v>19</v>
      </c>
      <c r="B7" s="8">
        <f>G7</f>
        <v>0</v>
      </c>
      <c r="C7" s="9"/>
      <c r="D7" s="10"/>
      <c r="G7" s="11">
        <f>digestion_page!B26</f>
        <v>0</v>
      </c>
    </row>
    <row r="8" spans="1:9">
      <c r="A8" s="5" t="s">
        <v>20</v>
      </c>
      <c r="B8" s="8">
        <f>G8</f>
        <v>0</v>
      </c>
      <c r="C8" s="9"/>
      <c r="D8" s="10"/>
      <c r="G8" s="11">
        <f>digestion_page!B27</f>
        <v>0</v>
      </c>
    </row>
    <row r="10" spans="1:9">
      <c r="A10" s="12" t="s">
        <v>28</v>
      </c>
      <c r="B10" s="12"/>
      <c r="C10" s="3"/>
    </row>
    <row r="11" spans="1:9">
      <c r="A11" s="12" t="s">
        <v>29</v>
      </c>
      <c r="B11" s="12"/>
      <c r="C11" s="13">
        <f>AVERAGE(D7:D8)*(10000)*(1/1)</f>
        <v>0</v>
      </c>
    </row>
    <row r="12" spans="1:9">
      <c r="A12" s="12" t="s">
        <v>29</v>
      </c>
      <c r="B12" s="12"/>
      <c r="C12" s="14">
        <f>AVERAGE(D7:D8)*(1/1)</f>
        <v>0</v>
      </c>
    </row>
    <row r="14" spans="1:9">
      <c r="A14" s="3" t="s">
        <v>30</v>
      </c>
      <c r="B14" s="3"/>
    </row>
    <row r="15" spans="1:9">
      <c r="A15" s="5" t="s">
        <v>25</v>
      </c>
      <c r="B15" s="5" t="s">
        <v>31</v>
      </c>
      <c r="C15" s="5" t="s">
        <v>32</v>
      </c>
      <c r="D15" s="5" t="s">
        <v>33</v>
      </c>
      <c r="E15" s="5" t="s">
        <v>34</v>
      </c>
    </row>
    <row r="16" spans="1:9">
      <c r="A16" s="5" t="s">
        <v>19</v>
      </c>
      <c r="B16" s="6">
        <f>"1/1"</f>
        <v>0</v>
      </c>
      <c r="C16" s="10"/>
      <c r="D16" s="15">
        <f>((C16)*(H16)*(I16))/(G16*1)</f>
        <v>0</v>
      </c>
      <c r="E16" s="15">
        <f>D16/10000</f>
        <v>0</v>
      </c>
      <c r="G16" s="11">
        <f>digestion_page!B17</f>
        <v>0</v>
      </c>
      <c r="H16" s="11">
        <f>digestion_page!C17</f>
        <v>0</v>
      </c>
      <c r="I16" s="11">
        <f>(LEFT(B16,FIND("/",B16)-1)/RIGHT(B16,LEN(B16)-FIND("/", B16)))</f>
        <v>0</v>
      </c>
    </row>
    <row r="17" spans="1:9">
      <c r="A17" s="5" t="s">
        <v>20</v>
      </c>
      <c r="B17" s="6">
        <f>"1/1"</f>
        <v>0</v>
      </c>
      <c r="C17" s="10"/>
      <c r="D17" s="15">
        <f>((C17)*(H17)*(I17))/(G17*1)</f>
        <v>0</v>
      </c>
      <c r="E17" s="15">
        <f>D17/10000</f>
        <v>0</v>
      </c>
      <c r="G17" s="11">
        <f>digestion_page!B18</f>
        <v>0</v>
      </c>
      <c r="H17" s="11">
        <f>digestion_page!C18</f>
        <v>0</v>
      </c>
      <c r="I17" s="11">
        <f>(LEFT(B17,FIND("/",B17)-1)/RIGHT(B17,LEN(B17)-FIND("/", B17)))</f>
        <v>0</v>
      </c>
    </row>
    <row r="19" spans="1:9">
      <c r="A19" s="12" t="s">
        <v>35</v>
      </c>
      <c r="B19" s="12"/>
      <c r="C19" s="13">
        <f>AVERAGE(D16:D17)</f>
        <v>0</v>
      </c>
    </row>
    <row r="20" spans="1:9">
      <c r="A20" s="12" t="s">
        <v>35</v>
      </c>
      <c r="B20" s="12"/>
      <c r="C20" s="14">
        <f>AVERAGE(E16:E17)</f>
        <v>0</v>
      </c>
    </row>
    <row r="21" spans="1:9">
      <c r="A21" s="12" t="s">
        <v>36</v>
      </c>
      <c r="B21" s="12"/>
      <c r="C21" s="16"/>
      <c r="D21" s="16"/>
      <c r="E21" s="16"/>
      <c r="F21" s="16"/>
    </row>
    <row r="23" spans="1:9">
      <c r="B23" s="12" t="s">
        <v>37</v>
      </c>
      <c r="C23" s="17"/>
      <c r="D23" s="17"/>
      <c r="E23" s="17"/>
      <c r="F23" s="17"/>
    </row>
    <row r="24" spans="1:9">
      <c r="C24" s="17"/>
      <c r="D24" s="17"/>
      <c r="E24" s="17"/>
      <c r="F24" s="17"/>
    </row>
    <row r="25" spans="1:9">
      <c r="C25" s="17"/>
      <c r="D25" s="17"/>
      <c r="E25" s="17"/>
      <c r="F25" s="17"/>
    </row>
  </sheetData>
  <mergeCells count="10">
    <mergeCell ref="A5:B5"/>
    <mergeCell ref="A10:B10"/>
    <mergeCell ref="A11:B11"/>
    <mergeCell ref="A12:B12"/>
    <mergeCell ref="A14:B14"/>
    <mergeCell ref="A19:B19"/>
    <mergeCell ref="A20:B20"/>
    <mergeCell ref="A21:B21"/>
    <mergeCell ref="C21:F21"/>
    <mergeCell ref="C23:F25"/>
  </mergeCells>
  <conditionalFormatting sqref="C10">
    <cfRule type="containsBlanks" dxfId="0" priority="1">
      <formula>LEN(TRIM(C10))=0</formula>
    </cfRule>
  </conditionalFormatting>
  <conditionalFormatting sqref="C21:F21">
    <cfRule type="containsBlanks" dxfId="0" priority="2">
      <formula>LEN(TRIM(C21))=0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sheetFormatPr defaultRowHeight="15"/>
  <cols>
    <col min="1" max="1" width="46.140625" bestFit="1" customWidth="1"/>
  </cols>
  <sheetData>
    <row r="1" spans="1:1">
      <c r="A1" s="18" t="s">
        <v>38</v>
      </c>
    </row>
    <row r="3" spans="1:1">
      <c r="A3" s="18" t="s">
        <v>39</v>
      </c>
    </row>
    <row r="5" spans="1:1">
      <c r="A5" s="18" t="s">
        <v>40</v>
      </c>
    </row>
    <row r="7" spans="1:1">
      <c r="A7" s="18" t="s">
        <v>41</v>
      </c>
    </row>
    <row r="9" spans="1:1">
      <c r="A9" s="18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200120001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2026-09-01T19:16:06Z</dcterms:created>
  <dcterms:modified xsi:type="dcterms:W3CDTF">2026-09-01T19:16:06Z</dcterms:modified>
</cp:coreProperties>
</file>