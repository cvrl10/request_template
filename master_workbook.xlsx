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200126514" sheetId="5" r:id="rId5"/>
    <sheet name="formula_page" sheetId="6" r:id="rId6"/>
  </sheets>
  <calcPr calcId="124519" fullCalcOnLoad="1"/>
</workbook>
</file>

<file path=xl/sharedStrings.xml><?xml version="1.0" encoding="utf-8"?>
<sst xmlns="http://schemas.openxmlformats.org/spreadsheetml/2006/main" count="214" uniqueCount="58">
  <si>
    <t>Date:</t>
  </si>
  <si>
    <t>Request ID:</t>
  </si>
  <si>
    <t>TEST</t>
  </si>
  <si>
    <t>Microwave</t>
  </si>
  <si>
    <t>Element(s)</t>
  </si>
  <si>
    <t>Al, Ca, Ti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</si>
  <si>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</si>
  <si>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</si>
  <si>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</si>
  <si>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</si>
  <si>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</si>
  <si>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</si>
  <si>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</si>
  <si>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</si>
  <si>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</si>
  <si>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</si>
  <si>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</si>
  <si>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</si>
  <si>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</si>
  <si>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</si>
  <si>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</si>
  <si>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</si>
  <si>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</si>
  <si>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</si>
  <si>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</si>
  <si>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200126514_1</t>
  </si>
  <si>
    <t>200126514_2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</si>
  <si>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</si>
  <si>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</si>
  <si>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</si>
  <si>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</si>
  <si>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</si>
  <si>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</si>
  <si>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</si>
  <si>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</si>
  <si>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</si>
  <si>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</si>
  <si>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Ca ICP analysis</t>
  </si>
  <si>
    <t>Ca_ppm</t>
  </si>
  <si>
    <t>%Ca</t>
  </si>
  <si>
    <t>ca result:</t>
  </si>
  <si>
    <t>ca oxide factor:</t>
  </si>
  <si>
    <t>ca oxide result:</t>
  </si>
  <si>
    <t>ca lot:</t>
  </si>
  <si>
    <t>Ti ICP analysis</t>
  </si>
  <si>
    <t>Ti_ppm</t>
  </si>
  <si>
    <t>%Ti</t>
  </si>
  <si>
    <t>ti result:</t>
  </si>
  <si>
    <t>ti oxide factor:</t>
  </si>
  <si>
    <t>ti oxide result:</t>
  </si>
  <si>
    <t>ti lot:</t>
  </si>
  <si>
    <t>Manufacturer: Assurance, 27-171ALT exp: 2026-07-30</t>
  </si>
  <si>
    <t>Manufacturer: Assurance, 28-35CAY exp: 2026-10-30</t>
  </si>
  <si>
    <t>Manufacturer: Assurance, 27-189TIT exp: 2026-08-30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</si>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</sst>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4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46174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1" spans="1:3">
      <c r="A21" s="5" t="s">
        <v>23</v>
      </c>
      <c r="B21" s="8"/>
      <c r="C21" s="6"/>
    </row>
    <row r="22" spans="1:3">
      <c r="A22" s="5" t="s">
        <v>24</v>
      </c>
      <c r="B22" s="8"/>
      <c r="C22" s="6"/>
    </row>
    <row r="23" spans="1:3">
      <c r="A23" s="5" t="s">
        <v>25</v>
      </c>
      <c r="B23" s="8"/>
      <c r="C23" s="6"/>
    </row>
    <row r="24" spans="1:3">
      <c r="A24" s="5" t="s">
        <v>26</v>
      </c>
      <c r="B24" s="8"/>
      <c r="C24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0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28" width="7.7109375" customWidth="1"/>
  </cols>
  <sheetData>
    <row r="1" spans="1:9">
      <c r="A1" s="1" t="s">
        <v>0</v>
      </c>
      <c r="B1" s="2">
        <v>46174</v>
      </c>
    </row>
    <row r="2" spans="1:9">
      <c r="A2" s="1" t="s">
        <v>1</v>
      </c>
      <c r="B2" s="3" t="s">
        <v>2</v>
      </c>
    </row>
    <row r="5" spans="1:9">
      <c r="A5" s="3" t="s">
        <v>27</v>
      </c>
      <c r="B5" s="3"/>
    </row>
    <row r="6" spans="1:9">
      <c r="A6" s="5" t="s">
        <v>28</v>
      </c>
      <c r="B6" s="5" t="s">
        <v>29</v>
      </c>
      <c r="C6" s="5" t="s">
        <v>30</v>
      </c>
      <c r="D6" s="5" t="s">
        <v>31</v>
      </c>
      <c r="E6" s="5" t="s">
        <v>32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33</v>
      </c>
      <c r="B10" s="12"/>
      <c r="C10" s="13">
        <f>AVERAGE(D7:D8)</f>
        <v>0</v>
      </c>
    </row>
    <row r="11" spans="1:9">
      <c r="A11" s="12" t="s">
        <v>33</v>
      </c>
      <c r="B11" s="12"/>
      <c r="C11" s="14">
        <f>AVERAGE(E7:E8)</f>
        <v>0</v>
      </c>
    </row>
    <row r="12" spans="1:9">
      <c r="A12" s="12" t="s">
        <v>34</v>
      </c>
      <c r="B12" s="12"/>
      <c r="C12" s="3"/>
    </row>
    <row r="13" spans="1:9">
      <c r="A13" s="12" t="s">
        <v>35</v>
      </c>
      <c r="B13" s="12"/>
      <c r="C13" s="14">
        <f>AVERAGE(E7:E8)*(C12)</f>
        <v>0</v>
      </c>
    </row>
    <row r="14" spans="1:9">
      <c r="A14" s="12" t="s">
        <v>36</v>
      </c>
      <c r="B14" s="12"/>
      <c r="C14" s="15" t="s">
        <v>51</v>
      </c>
      <c r="D14" s="15"/>
      <c r="E14" s="15"/>
      <c r="F14" s="15"/>
    </row>
    <row r="16" spans="1:9">
      <c r="A16" s="3" t="s">
        <v>37</v>
      </c>
      <c r="B16" s="3"/>
    </row>
    <row r="17" spans="1:9">
      <c r="A17" s="5" t="s">
        <v>28</v>
      </c>
      <c r="B17" s="5" t="s">
        <v>29</v>
      </c>
      <c r="C17" s="5" t="s">
        <v>30</v>
      </c>
      <c r="D17" s="5" t="s">
        <v>38</v>
      </c>
      <c r="E17" s="5" t="s">
        <v>39</v>
      </c>
    </row>
    <row r="18" spans="1:9">
      <c r="A18" s="5" t="s">
        <v>19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digestion_page!B17</f>
        <v>0</v>
      </c>
      <c r="H18" s="11">
        <f>digestion_page!C17</f>
        <v>0</v>
      </c>
      <c r="I18" s="11">
        <f>(LEFT(B18,FIND("/",B18)-1)/RIGHT(B18,LEN(B18)-FIND("/", B18)))</f>
        <v>0</v>
      </c>
    </row>
    <row r="19" spans="1:9">
      <c r="A19" s="5" t="s">
        <v>20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digestion_page!B18</f>
        <v>0</v>
      </c>
      <c r="H19" s="11">
        <f>digestion_page!C18</f>
        <v>0</v>
      </c>
      <c r="I19" s="11">
        <f>(LEFT(B19,FIND("/",B19)-1)/RIGHT(B19,LEN(B19)-FIND("/", B19)))</f>
        <v>0</v>
      </c>
    </row>
    <row r="21" spans="1:9">
      <c r="A21" s="12" t="s">
        <v>40</v>
      </c>
      <c r="B21" s="12"/>
      <c r="C21" s="13">
        <f>AVERAGE(D18:D19)</f>
        <v>0</v>
      </c>
    </row>
    <row r="22" spans="1:9">
      <c r="A22" s="12" t="s">
        <v>40</v>
      </c>
      <c r="B22" s="12"/>
      <c r="C22" s="14">
        <f>AVERAGE(E18:E19)</f>
        <v>0</v>
      </c>
    </row>
    <row r="23" spans="1:9">
      <c r="A23" s="12" t="s">
        <v>41</v>
      </c>
      <c r="B23" s="12"/>
      <c r="C23" s="3"/>
    </row>
    <row r="24" spans="1:9">
      <c r="A24" s="12" t="s">
        <v>42</v>
      </c>
      <c r="B24" s="12"/>
      <c r="C24" s="14">
        <f>AVERAGE(E18:E19)*(C23)</f>
        <v>0</v>
      </c>
    </row>
    <row r="25" spans="1:9">
      <c r="A25" s="12" t="s">
        <v>43</v>
      </c>
      <c r="B25" s="12"/>
      <c r="C25" s="15" t="s">
        <v>52</v>
      </c>
      <c r="D25" s="15"/>
      <c r="E25" s="15"/>
      <c r="F25" s="15"/>
    </row>
    <row r="27" spans="1:9">
      <c r="A27" s="3" t="s">
        <v>44</v>
      </c>
      <c r="B27" s="3"/>
    </row>
    <row r="28" spans="1:9">
      <c r="A28" s="5" t="s">
        <v>28</v>
      </c>
      <c r="B28" s="5" t="s">
        <v>29</v>
      </c>
      <c r="C28" s="5" t="s">
        <v>30</v>
      </c>
      <c r="D28" s="5" t="s">
        <v>45</v>
      </c>
      <c r="E28" s="5" t="s">
        <v>46</v>
      </c>
    </row>
    <row r="29" spans="1:9">
      <c r="A29" s="5" t="s">
        <v>19</v>
      </c>
      <c r="B29" s="6">
        <f>"1/1"</f>
        <v>0</v>
      </c>
      <c r="C29" s="9"/>
      <c r="D29" s="10">
        <f>((C29)*(H29)*(I29))/(G29*1)</f>
        <v>0</v>
      </c>
      <c r="E29" s="10">
        <f>D29/10000</f>
        <v>0</v>
      </c>
      <c r="G29" s="11">
        <f>digestion_page!B17</f>
        <v>0</v>
      </c>
      <c r="H29" s="11">
        <f>digestion_page!C17</f>
        <v>0</v>
      </c>
      <c r="I29" s="11">
        <f>(LEFT(B29,FIND("/",B29)-1)/RIGHT(B29,LEN(B29)-FIND("/", B29)))</f>
        <v>0</v>
      </c>
    </row>
    <row r="30" spans="1:9">
      <c r="A30" s="5" t="s">
        <v>20</v>
      </c>
      <c r="B30" s="6">
        <f>"1/1"</f>
        <v>0</v>
      </c>
      <c r="C30" s="9"/>
      <c r="D30" s="10">
        <f>((C30)*(H30)*(I30))/(G30*1)</f>
        <v>0</v>
      </c>
      <c r="E30" s="10">
        <f>D30/10000</f>
        <v>0</v>
      </c>
      <c r="G30" s="11">
        <f>digestion_page!B18</f>
        <v>0</v>
      </c>
      <c r="H30" s="11">
        <f>digestion_page!C18</f>
        <v>0</v>
      </c>
      <c r="I30" s="11">
        <f>(LEFT(B30,FIND("/",B30)-1)/RIGHT(B30,LEN(B30)-FIND("/", B30)))</f>
        <v>0</v>
      </c>
    </row>
    <row r="32" spans="1:9">
      <c r="A32" s="12" t="s">
        <v>47</v>
      </c>
      <c r="B32" s="12"/>
      <c r="C32" s="13">
        <f>AVERAGE(D29:D30)</f>
        <v>0</v>
      </c>
    </row>
    <row r="33" spans="1:6">
      <c r="A33" s="12" t="s">
        <v>47</v>
      </c>
      <c r="B33" s="12"/>
      <c r="C33" s="14">
        <f>AVERAGE(E29:E30)</f>
        <v>0</v>
      </c>
    </row>
    <row r="34" spans="1:6">
      <c r="A34" s="12" t="s">
        <v>48</v>
      </c>
      <c r="B34" s="12"/>
      <c r="C34" s="3"/>
    </row>
    <row r="35" spans="1:6">
      <c r="A35" s="12" t="s">
        <v>49</v>
      </c>
      <c r="B35" s="12"/>
      <c r="C35" s="14">
        <f>AVERAGE(E29:E30)*(C34)</f>
        <v>0</v>
      </c>
    </row>
    <row r="36" spans="1:6">
      <c r="A36" s="12" t="s">
        <v>50</v>
      </c>
      <c r="B36" s="12"/>
      <c r="C36" s="15" t="s">
        <v>53</v>
      </c>
      <c r="D36" s="15"/>
      <c r="E36" s="15"/>
      <c r="F36" s="15"/>
    </row>
    <row r="38" spans="1:6">
      <c r="B38" s="12" t="s">
        <v>54</v>
      </c>
      <c r="C38" s="16"/>
      <c r="D38" s="16"/>
      <c r="E38" s="16"/>
      <c r="F38" s="16"/>
    </row>
    <row r="39" spans="1:6">
      <c r="C39" s="16"/>
      <c r="D39" s="16"/>
      <c r="E39" s="16"/>
      <c r="F39" s="16"/>
    </row>
    <row r="40" spans="1:6">
      <c r="C40" s="16"/>
      <c r="D40" s="16"/>
      <c r="E40" s="16"/>
      <c r="F40" s="16"/>
    </row>
  </sheetData>
  <mergeCells count="2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C38:F40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0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28" width="7.7109375" customWidth="1"/>
  </cols>
  <sheetData>
    <row r="1" spans="1:9">
      <c r="A1" s="1" t="s">
        <v>0</v>
      </c>
      <c r="B1" s="2">
        <v>46174</v>
      </c>
    </row>
    <row r="2" spans="1:9">
      <c r="A2" s="1" t="s">
        <v>1</v>
      </c>
      <c r="B2" s="3" t="s">
        <v>2</v>
      </c>
    </row>
    <row r="5" spans="1:9">
      <c r="A5" s="3" t="s">
        <v>27</v>
      </c>
      <c r="B5" s="3"/>
    </row>
    <row r="6" spans="1:9">
      <c r="A6" s="5" t="s">
        <v>28</v>
      </c>
      <c r="B6" s="5" t="s">
        <v>29</v>
      </c>
      <c r="C6" s="5" t="s">
        <v>30</v>
      </c>
      <c r="D6" s="5" t="s">
        <v>31</v>
      </c>
      <c r="E6" s="5" t="s">
        <v>32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33</v>
      </c>
      <c r="B10" s="12"/>
      <c r="C10" s="13">
        <f>AVERAGE(D7:D8)</f>
        <v>0</v>
      </c>
    </row>
    <row r="11" spans="1:9">
      <c r="A11" s="12" t="s">
        <v>33</v>
      </c>
      <c r="B11" s="12"/>
      <c r="C11" s="14">
        <f>AVERAGE(E7:E8)</f>
        <v>0</v>
      </c>
    </row>
    <row r="12" spans="1:9">
      <c r="A12" s="12" t="s">
        <v>34</v>
      </c>
      <c r="B12" s="12"/>
      <c r="C12" s="3"/>
    </row>
    <row r="13" spans="1:9">
      <c r="A13" s="12" t="s">
        <v>35</v>
      </c>
      <c r="B13" s="12"/>
      <c r="C13" s="14">
        <f>AVERAGE(E7:E8)*(C12)</f>
        <v>0</v>
      </c>
    </row>
    <row r="14" spans="1:9">
      <c r="A14" s="12" t="s">
        <v>36</v>
      </c>
      <c r="B14" s="12"/>
      <c r="C14" s="15" t="s">
        <v>51</v>
      </c>
      <c r="D14" s="15"/>
      <c r="E14" s="15"/>
      <c r="F14" s="15"/>
    </row>
    <row r="16" spans="1:9">
      <c r="A16" s="3" t="s">
        <v>37</v>
      </c>
      <c r="B16" s="3"/>
    </row>
    <row r="17" spans="1:9">
      <c r="A17" s="5" t="s">
        <v>28</v>
      </c>
      <c r="B17" s="5" t="s">
        <v>29</v>
      </c>
      <c r="C17" s="5" t="s">
        <v>30</v>
      </c>
      <c r="D17" s="5" t="s">
        <v>38</v>
      </c>
      <c r="E17" s="5" t="s">
        <v>39</v>
      </c>
    </row>
    <row r="18" spans="1:9">
      <c r="A18" s="5" t="s">
        <v>21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digestion_page!B19</f>
        <v>0</v>
      </c>
      <c r="H18" s="11">
        <f>digestion_page!C19</f>
        <v>0</v>
      </c>
      <c r="I18" s="11">
        <f>(LEFT(B18,FIND("/",B18)-1)/RIGHT(B18,LEN(B18)-FIND("/", B18)))</f>
        <v>0</v>
      </c>
    </row>
    <row r="19" spans="1:9">
      <c r="A19" s="5" t="s">
        <v>22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digestion_page!B20</f>
        <v>0</v>
      </c>
      <c r="H19" s="11">
        <f>digestion_page!C20</f>
        <v>0</v>
      </c>
      <c r="I19" s="11">
        <f>(LEFT(B19,FIND("/",B19)-1)/RIGHT(B19,LEN(B19)-FIND("/", B19)))</f>
        <v>0</v>
      </c>
    </row>
    <row r="21" spans="1:9">
      <c r="A21" s="12" t="s">
        <v>40</v>
      </c>
      <c r="B21" s="12"/>
      <c r="C21" s="13">
        <f>AVERAGE(D18:D19)</f>
        <v>0</v>
      </c>
    </row>
    <row r="22" spans="1:9">
      <c r="A22" s="12" t="s">
        <v>40</v>
      </c>
      <c r="B22" s="12"/>
      <c r="C22" s="14">
        <f>AVERAGE(E18:E19)</f>
        <v>0</v>
      </c>
    </row>
    <row r="23" spans="1:9">
      <c r="A23" s="12" t="s">
        <v>41</v>
      </c>
      <c r="B23" s="12"/>
      <c r="C23" s="3"/>
    </row>
    <row r="24" spans="1:9">
      <c r="A24" s="12" t="s">
        <v>42</v>
      </c>
      <c r="B24" s="12"/>
      <c r="C24" s="14">
        <f>AVERAGE(E18:E19)*(C23)</f>
        <v>0</v>
      </c>
    </row>
    <row r="25" spans="1:9">
      <c r="A25" s="12" t="s">
        <v>43</v>
      </c>
      <c r="B25" s="12"/>
      <c r="C25" s="15" t="s">
        <v>52</v>
      </c>
      <c r="D25" s="15"/>
      <c r="E25" s="15"/>
      <c r="F25" s="15"/>
    </row>
    <row r="27" spans="1:9">
      <c r="A27" s="3" t="s">
        <v>44</v>
      </c>
      <c r="B27" s="3"/>
    </row>
    <row r="28" spans="1:9">
      <c r="A28" s="5" t="s">
        <v>28</v>
      </c>
      <c r="B28" s="5" t="s">
        <v>29</v>
      </c>
      <c r="C28" s="5" t="s">
        <v>30</v>
      </c>
      <c r="D28" s="5" t="s">
        <v>45</v>
      </c>
      <c r="E28" s="5" t="s">
        <v>46</v>
      </c>
    </row>
    <row r="29" spans="1:9">
      <c r="A29" s="5" t="s">
        <v>21</v>
      </c>
      <c r="B29" s="6">
        <f>"1/1"</f>
        <v>0</v>
      </c>
      <c r="C29" s="9"/>
      <c r="D29" s="10">
        <f>((C29)*(H29)*(I29))/(G29*1)</f>
        <v>0</v>
      </c>
      <c r="E29" s="10">
        <f>D29/10000</f>
        <v>0</v>
      </c>
      <c r="G29" s="11">
        <f>digestion_page!B19</f>
        <v>0</v>
      </c>
      <c r="H29" s="11">
        <f>digestion_page!C19</f>
        <v>0</v>
      </c>
      <c r="I29" s="11">
        <f>(LEFT(B29,FIND("/",B29)-1)/RIGHT(B29,LEN(B29)-FIND("/", B29)))</f>
        <v>0</v>
      </c>
    </row>
    <row r="30" spans="1:9">
      <c r="A30" s="5" t="s">
        <v>22</v>
      </c>
      <c r="B30" s="6">
        <f>"1/1"</f>
        <v>0</v>
      </c>
      <c r="C30" s="9"/>
      <c r="D30" s="10">
        <f>((C30)*(H30)*(I30))/(G30*1)</f>
        <v>0</v>
      </c>
      <c r="E30" s="10">
        <f>D30/10000</f>
        <v>0</v>
      </c>
      <c r="G30" s="11">
        <f>digestion_page!B20</f>
        <v>0</v>
      </c>
      <c r="H30" s="11">
        <f>digestion_page!C20</f>
        <v>0</v>
      </c>
      <c r="I30" s="11">
        <f>(LEFT(B30,FIND("/",B30)-1)/RIGHT(B30,LEN(B30)-FIND("/", B30)))</f>
        <v>0</v>
      </c>
    </row>
    <row r="32" spans="1:9">
      <c r="A32" s="12" t="s">
        <v>47</v>
      </c>
      <c r="B32" s="12"/>
      <c r="C32" s="13">
        <f>AVERAGE(D29:D30)</f>
        <v>0</v>
      </c>
    </row>
    <row r="33" spans="1:6">
      <c r="A33" s="12" t="s">
        <v>47</v>
      </c>
      <c r="B33" s="12"/>
      <c r="C33" s="14">
        <f>AVERAGE(E29:E30)</f>
        <v>0</v>
      </c>
    </row>
    <row r="34" spans="1:6">
      <c r="A34" s="12" t="s">
        <v>48</v>
      </c>
      <c r="B34" s="12"/>
      <c r="C34" s="3"/>
    </row>
    <row r="35" spans="1:6">
      <c r="A35" s="12" t="s">
        <v>49</v>
      </c>
      <c r="B35" s="12"/>
      <c r="C35" s="14">
        <f>AVERAGE(E29:E30)*(C34)</f>
        <v>0</v>
      </c>
    </row>
    <row r="36" spans="1:6">
      <c r="A36" s="12" t="s">
        <v>50</v>
      </c>
      <c r="B36" s="12"/>
      <c r="C36" s="15" t="s">
        <v>53</v>
      </c>
      <c r="D36" s="15"/>
      <c r="E36" s="15"/>
      <c r="F36" s="15"/>
    </row>
    <row r="38" spans="1:6">
      <c r="B38" s="12" t="s">
        <v>54</v>
      </c>
      <c r="C38" s="16"/>
      <c r="D38" s="16"/>
      <c r="E38" s="16"/>
      <c r="F38" s="16"/>
    </row>
    <row r="39" spans="1:6">
      <c r="C39" s="16"/>
      <c r="D39" s="16"/>
      <c r="E39" s="16"/>
      <c r="F39" s="16"/>
    </row>
    <row r="40" spans="1:6">
      <c r="C40" s="16"/>
      <c r="D40" s="16"/>
      <c r="E40" s="16"/>
      <c r="F40" s="16"/>
    </row>
  </sheetData>
  <mergeCells count="2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C38:F40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40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28" width="7.7109375" customWidth="1"/>
  </cols>
  <sheetData>
    <row r="1" spans="1:9">
      <c r="A1" s="1" t="s">
        <v>0</v>
      </c>
      <c r="B1" s="2">
        <v>46174</v>
      </c>
    </row>
    <row r="2" spans="1:9">
      <c r="A2" s="1" t="s">
        <v>1</v>
      </c>
      <c r="B2" s="3" t="s">
        <v>2</v>
      </c>
    </row>
    <row r="5" spans="1:9">
      <c r="A5" s="3" t="s">
        <v>27</v>
      </c>
      <c r="B5" s="3"/>
    </row>
    <row r="6" spans="1:9">
      <c r="A6" s="5" t="s">
        <v>28</v>
      </c>
      <c r="B6" s="5" t="s">
        <v>29</v>
      </c>
      <c r="C6" s="5" t="s">
        <v>30</v>
      </c>
      <c r="D6" s="5" t="s">
        <v>31</v>
      </c>
      <c r="E6" s="5" t="s">
        <v>32</v>
      </c>
    </row>
    <row r="7" spans="1:9">
      <c r="A7" s="5" t="s">
        <v>23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digestion_page!B21</f>
        <v>0</v>
      </c>
      <c r="H7" s="11">
        <f>digestion_page!C21</f>
        <v>0</v>
      </c>
      <c r="I7" s="11">
        <f>(LEFT(B7,FIND("/",B7)-1)/RIGHT(B7,LEN(B7)-FIND("/", B7)))</f>
        <v>0</v>
      </c>
    </row>
    <row r="8" spans="1:9">
      <c r="A8" s="5" t="s">
        <v>24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digestion_page!B22</f>
        <v>0</v>
      </c>
      <c r="H8" s="11">
        <f>digestion_page!C22</f>
        <v>0</v>
      </c>
      <c r="I8" s="11">
        <f>(LEFT(B8,FIND("/",B8)-1)/RIGHT(B8,LEN(B8)-FIND("/", B8)))</f>
        <v>0</v>
      </c>
    </row>
    <row r="10" spans="1:9">
      <c r="A10" s="12" t="s">
        <v>33</v>
      </c>
      <c r="B10" s="12"/>
      <c r="C10" s="13">
        <f>AVERAGE(D7:D8)</f>
        <v>0</v>
      </c>
    </row>
    <row r="11" spans="1:9">
      <c r="A11" s="12" t="s">
        <v>33</v>
      </c>
      <c r="B11" s="12"/>
      <c r="C11" s="14">
        <f>AVERAGE(E7:E8)</f>
        <v>0</v>
      </c>
    </row>
    <row r="12" spans="1:9">
      <c r="A12" s="12" t="s">
        <v>34</v>
      </c>
      <c r="B12" s="12"/>
      <c r="C12" s="3"/>
    </row>
    <row r="13" spans="1:9">
      <c r="A13" s="12" t="s">
        <v>35</v>
      </c>
      <c r="B13" s="12"/>
      <c r="C13" s="14">
        <f>AVERAGE(E7:E8)*(C12)</f>
        <v>0</v>
      </c>
    </row>
    <row r="14" spans="1:9">
      <c r="A14" s="12" t="s">
        <v>36</v>
      </c>
      <c r="B14" s="12"/>
      <c r="C14" s="15" t="s">
        <v>51</v>
      </c>
      <c r="D14" s="15"/>
      <c r="E14" s="15"/>
      <c r="F14" s="15"/>
    </row>
    <row r="16" spans="1:9">
      <c r="A16" s="3" t="s">
        <v>37</v>
      </c>
      <c r="B16" s="3"/>
    </row>
    <row r="17" spans="1:9">
      <c r="A17" s="5" t="s">
        <v>28</v>
      </c>
      <c r="B17" s="5" t="s">
        <v>29</v>
      </c>
      <c r="C17" s="5" t="s">
        <v>30</v>
      </c>
      <c r="D17" s="5" t="s">
        <v>38</v>
      </c>
      <c r="E17" s="5" t="s">
        <v>39</v>
      </c>
    </row>
    <row r="18" spans="1:9">
      <c r="A18" s="5" t="s">
        <v>23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digestion_page!B21</f>
        <v>0</v>
      </c>
      <c r="H18" s="11">
        <f>digestion_page!C21</f>
        <v>0</v>
      </c>
      <c r="I18" s="11">
        <f>(LEFT(B18,FIND("/",B18)-1)/RIGHT(B18,LEN(B18)-FIND("/", B18)))</f>
        <v>0</v>
      </c>
    </row>
    <row r="19" spans="1:9">
      <c r="A19" s="5" t="s">
        <v>24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digestion_page!B22</f>
        <v>0</v>
      </c>
      <c r="H19" s="11">
        <f>digestion_page!C22</f>
        <v>0</v>
      </c>
      <c r="I19" s="11">
        <f>(LEFT(B19,FIND("/",B19)-1)/RIGHT(B19,LEN(B19)-FIND("/", B19)))</f>
        <v>0</v>
      </c>
    </row>
    <row r="21" spans="1:9">
      <c r="A21" s="12" t="s">
        <v>40</v>
      </c>
      <c r="B21" s="12"/>
      <c r="C21" s="13">
        <f>AVERAGE(D18:D19)</f>
        <v>0</v>
      </c>
    </row>
    <row r="22" spans="1:9">
      <c r="A22" s="12" t="s">
        <v>40</v>
      </c>
      <c r="B22" s="12"/>
      <c r="C22" s="14">
        <f>AVERAGE(E18:E19)</f>
        <v>0</v>
      </c>
    </row>
    <row r="23" spans="1:9">
      <c r="A23" s="12" t="s">
        <v>41</v>
      </c>
      <c r="B23" s="12"/>
      <c r="C23" s="3"/>
    </row>
    <row r="24" spans="1:9">
      <c r="A24" s="12" t="s">
        <v>42</v>
      </c>
      <c r="B24" s="12"/>
      <c r="C24" s="14">
        <f>AVERAGE(E18:E19)*(C23)</f>
        <v>0</v>
      </c>
    </row>
    <row r="25" spans="1:9">
      <c r="A25" s="12" t="s">
        <v>43</v>
      </c>
      <c r="B25" s="12"/>
      <c r="C25" s="15" t="s">
        <v>52</v>
      </c>
      <c r="D25" s="15"/>
      <c r="E25" s="15"/>
      <c r="F25" s="15"/>
    </row>
    <row r="27" spans="1:9">
      <c r="A27" s="3" t="s">
        <v>44</v>
      </c>
      <c r="B27" s="3"/>
    </row>
    <row r="28" spans="1:9">
      <c r="A28" s="5" t="s">
        <v>28</v>
      </c>
      <c r="B28" s="5" t="s">
        <v>29</v>
      </c>
      <c r="C28" s="5" t="s">
        <v>30</v>
      </c>
      <c r="D28" s="5" t="s">
        <v>45</v>
      </c>
      <c r="E28" s="5" t="s">
        <v>46</v>
      </c>
    </row>
    <row r="29" spans="1:9">
      <c r="A29" s="5" t="s">
        <v>23</v>
      </c>
      <c r="B29" s="6">
        <f>"1/1"</f>
        <v>0</v>
      </c>
      <c r="C29" s="9"/>
      <c r="D29" s="10">
        <f>((C29)*(H29)*(I29))/(G29*1)</f>
        <v>0</v>
      </c>
      <c r="E29" s="10">
        <f>D29/10000</f>
        <v>0</v>
      </c>
      <c r="G29" s="11">
        <f>digestion_page!B21</f>
        <v>0</v>
      </c>
      <c r="H29" s="11">
        <f>digestion_page!C21</f>
        <v>0</v>
      </c>
      <c r="I29" s="11">
        <f>(LEFT(B29,FIND("/",B29)-1)/RIGHT(B29,LEN(B29)-FIND("/", B29)))</f>
        <v>0</v>
      </c>
    </row>
    <row r="30" spans="1:9">
      <c r="A30" s="5" t="s">
        <v>24</v>
      </c>
      <c r="B30" s="6">
        <f>"1/1"</f>
        <v>0</v>
      </c>
      <c r="C30" s="9"/>
      <c r="D30" s="10">
        <f>((C30)*(H30)*(I30))/(G30*1)</f>
        <v>0</v>
      </c>
      <c r="E30" s="10">
        <f>D30/10000</f>
        <v>0</v>
      </c>
      <c r="G30" s="11">
        <f>digestion_page!B22</f>
        <v>0</v>
      </c>
      <c r="H30" s="11">
        <f>digestion_page!C22</f>
        <v>0</v>
      </c>
      <c r="I30" s="11">
        <f>(LEFT(B30,FIND("/",B30)-1)/RIGHT(B30,LEN(B30)-FIND("/", B30)))</f>
        <v>0</v>
      </c>
    </row>
    <row r="32" spans="1:9">
      <c r="A32" s="12" t="s">
        <v>47</v>
      </c>
      <c r="B32" s="12"/>
      <c r="C32" s="13">
        <f>AVERAGE(D29:D30)</f>
        <v>0</v>
      </c>
    </row>
    <row r="33" spans="1:6">
      <c r="A33" s="12" t="s">
        <v>47</v>
      </c>
      <c r="B33" s="12"/>
      <c r="C33" s="14">
        <f>AVERAGE(E29:E30)</f>
        <v>0</v>
      </c>
    </row>
    <row r="34" spans="1:6">
      <c r="A34" s="12" t="s">
        <v>48</v>
      </c>
      <c r="B34" s="12"/>
      <c r="C34" s="3"/>
    </row>
    <row r="35" spans="1:6">
      <c r="A35" s="12" t="s">
        <v>49</v>
      </c>
      <c r="B35" s="12"/>
      <c r="C35" s="14">
        <f>AVERAGE(E29:E30)*(C34)</f>
        <v>0</v>
      </c>
    </row>
    <row r="36" spans="1:6">
      <c r="A36" s="12" t="s">
        <v>50</v>
      </c>
      <c r="B36" s="12"/>
      <c r="C36" s="15" t="s">
        <v>53</v>
      </c>
      <c r="D36" s="15"/>
      <c r="E36" s="15"/>
      <c r="F36" s="15"/>
    </row>
    <row r="38" spans="1:6">
      <c r="B38" s="12" t="s">
        <v>54</v>
      </c>
      <c r="C38" s="16"/>
      <c r="D38" s="16"/>
      <c r="E38" s="16"/>
      <c r="F38" s="16"/>
    </row>
    <row r="39" spans="1:6">
      <c r="C39" s="16"/>
      <c r="D39" s="16"/>
      <c r="E39" s="16"/>
      <c r="F39" s="16"/>
    </row>
    <row r="40" spans="1:6">
      <c r="C40" s="16"/>
      <c r="D40" s="16"/>
      <c r="E40" s="16"/>
      <c r="F40" s="16"/>
    </row>
  </sheetData>
  <mergeCells count="2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C38:F40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0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28" width="7.7109375" customWidth="1"/>
  </cols>
  <sheetData>
    <row r="1" spans="1:9">
      <c r="A1" s="1" t="s">
        <v>0</v>
      </c>
      <c r="B1" s="2">
        <v>46174</v>
      </c>
    </row>
    <row r="2" spans="1:9">
      <c r="A2" s="1" t="s">
        <v>1</v>
      </c>
      <c r="B2" s="3" t="s">
        <v>2</v>
      </c>
    </row>
    <row r="5" spans="1:9">
      <c r="A5" s="3" t="s">
        <v>27</v>
      </c>
      <c r="B5" s="3"/>
    </row>
    <row r="6" spans="1:9">
      <c r="A6" s="5" t="s">
        <v>28</v>
      </c>
      <c r="B6" s="5" t="s">
        <v>29</v>
      </c>
      <c r="C6" s="5" t="s">
        <v>30</v>
      </c>
      <c r="D6" s="5" t="s">
        <v>31</v>
      </c>
      <c r="E6" s="5" t="s">
        <v>32</v>
      </c>
    </row>
    <row r="7" spans="1:9">
      <c r="A7" s="5" t="s">
        <v>25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digestion_page!B23</f>
        <v>0</v>
      </c>
      <c r="H7" s="11">
        <f>digestion_page!C23</f>
        <v>0</v>
      </c>
      <c r="I7" s="11">
        <f>(LEFT(B7,FIND("/",B7)-1)/RIGHT(B7,LEN(B7)-FIND("/", B7)))</f>
        <v>0</v>
      </c>
    </row>
    <row r="8" spans="1:9">
      <c r="A8" s="5" t="s">
        <v>26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digestion_page!B24</f>
        <v>0</v>
      </c>
      <c r="H8" s="11">
        <f>digestion_page!C24</f>
        <v>0</v>
      </c>
      <c r="I8" s="11">
        <f>(LEFT(B8,FIND("/",B8)-1)/RIGHT(B8,LEN(B8)-FIND("/", B8)))</f>
        <v>0</v>
      </c>
    </row>
    <row r="10" spans="1:9">
      <c r="A10" s="12" t="s">
        <v>33</v>
      </c>
      <c r="B10" s="12"/>
      <c r="C10" s="13">
        <f>AVERAGE(D7:D8)</f>
        <v>0</v>
      </c>
    </row>
    <row r="11" spans="1:9">
      <c r="A11" s="12" t="s">
        <v>33</v>
      </c>
      <c r="B11" s="12"/>
      <c r="C11" s="14">
        <f>AVERAGE(E7:E8)</f>
        <v>0</v>
      </c>
    </row>
    <row r="12" spans="1:9">
      <c r="A12" s="12" t="s">
        <v>34</v>
      </c>
      <c r="B12" s="12"/>
      <c r="C12" s="3"/>
    </row>
    <row r="13" spans="1:9">
      <c r="A13" s="12" t="s">
        <v>35</v>
      </c>
      <c r="B13" s="12"/>
      <c r="C13" s="14">
        <f>AVERAGE(E7:E8)*(C12)</f>
        <v>0</v>
      </c>
    </row>
    <row r="14" spans="1:9">
      <c r="A14" s="12" t="s">
        <v>36</v>
      </c>
      <c r="B14" s="12"/>
      <c r="C14" s="15" t="s">
        <v>51</v>
      </c>
      <c r="D14" s="15"/>
      <c r="E14" s="15"/>
      <c r="F14" s="15"/>
    </row>
    <row r="16" spans="1:9">
      <c r="A16" s="3" t="s">
        <v>37</v>
      </c>
      <c r="B16" s="3"/>
    </row>
    <row r="17" spans="1:9">
      <c r="A17" s="5" t="s">
        <v>28</v>
      </c>
      <c r="B17" s="5" t="s">
        <v>29</v>
      </c>
      <c r="C17" s="5" t="s">
        <v>30</v>
      </c>
      <c r="D17" s="5" t="s">
        <v>38</v>
      </c>
      <c r="E17" s="5" t="s">
        <v>39</v>
      </c>
    </row>
    <row r="18" spans="1:9">
      <c r="A18" s="5" t="s">
        <v>25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digestion_page!B23</f>
        <v>0</v>
      </c>
      <c r="H18" s="11">
        <f>digestion_page!C23</f>
        <v>0</v>
      </c>
      <c r="I18" s="11">
        <f>(LEFT(B18,FIND("/",B18)-1)/RIGHT(B18,LEN(B18)-FIND("/", B18)))</f>
        <v>0</v>
      </c>
    </row>
    <row r="19" spans="1:9">
      <c r="A19" s="5" t="s">
        <v>26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digestion_page!B24</f>
        <v>0</v>
      </c>
      <c r="H19" s="11">
        <f>digestion_page!C24</f>
        <v>0</v>
      </c>
      <c r="I19" s="11">
        <f>(LEFT(B19,FIND("/",B19)-1)/RIGHT(B19,LEN(B19)-FIND("/", B19)))</f>
        <v>0</v>
      </c>
    </row>
    <row r="21" spans="1:9">
      <c r="A21" s="12" t="s">
        <v>40</v>
      </c>
      <c r="B21" s="12"/>
      <c r="C21" s="13">
        <f>AVERAGE(D18:D19)</f>
        <v>0</v>
      </c>
    </row>
    <row r="22" spans="1:9">
      <c r="A22" s="12" t="s">
        <v>40</v>
      </c>
      <c r="B22" s="12"/>
      <c r="C22" s="14">
        <f>AVERAGE(E18:E19)</f>
        <v>0</v>
      </c>
    </row>
    <row r="23" spans="1:9">
      <c r="A23" s="12" t="s">
        <v>41</v>
      </c>
      <c r="B23" s="12"/>
      <c r="C23" s="3"/>
    </row>
    <row r="24" spans="1:9">
      <c r="A24" s="12" t="s">
        <v>42</v>
      </c>
      <c r="B24" s="12"/>
      <c r="C24" s="14">
        <f>AVERAGE(E18:E19)*(C23)</f>
        <v>0</v>
      </c>
    </row>
    <row r="25" spans="1:9">
      <c r="A25" s="12" t="s">
        <v>43</v>
      </c>
      <c r="B25" s="12"/>
      <c r="C25" s="15" t="s">
        <v>52</v>
      </c>
      <c r="D25" s="15"/>
      <c r="E25" s="15"/>
      <c r="F25" s="15"/>
    </row>
    <row r="27" spans="1:9">
      <c r="A27" s="3" t="s">
        <v>44</v>
      </c>
      <c r="B27" s="3"/>
    </row>
    <row r="28" spans="1:9">
      <c r="A28" s="5" t="s">
        <v>28</v>
      </c>
      <c r="B28" s="5" t="s">
        <v>29</v>
      </c>
      <c r="C28" s="5" t="s">
        <v>30</v>
      </c>
      <c r="D28" s="5" t="s">
        <v>45</v>
      </c>
      <c r="E28" s="5" t="s">
        <v>46</v>
      </c>
    </row>
    <row r="29" spans="1:9">
      <c r="A29" s="5" t="s">
        <v>25</v>
      </c>
      <c r="B29" s="6">
        <f>"1/1"</f>
        <v>0</v>
      </c>
      <c r="C29" s="9"/>
      <c r="D29" s="10">
        <f>((C29)*(H29)*(I29))/(G29*1)</f>
        <v>0</v>
      </c>
      <c r="E29" s="10">
        <f>D29/10000</f>
        <v>0</v>
      </c>
      <c r="G29" s="11">
        <f>digestion_page!B23</f>
        <v>0</v>
      </c>
      <c r="H29" s="11">
        <f>digestion_page!C23</f>
        <v>0</v>
      </c>
      <c r="I29" s="11">
        <f>(LEFT(B29,FIND("/",B29)-1)/RIGHT(B29,LEN(B29)-FIND("/", B29)))</f>
        <v>0</v>
      </c>
    </row>
    <row r="30" spans="1:9">
      <c r="A30" s="5" t="s">
        <v>26</v>
      </c>
      <c r="B30" s="6">
        <f>"1/1"</f>
        <v>0</v>
      </c>
      <c r="C30" s="9"/>
      <c r="D30" s="10">
        <f>((C30)*(H30)*(I30))/(G30*1)</f>
        <v>0</v>
      </c>
      <c r="E30" s="10">
        <f>D30/10000</f>
        <v>0</v>
      </c>
      <c r="G30" s="11">
        <f>digestion_page!B24</f>
        <v>0</v>
      </c>
      <c r="H30" s="11">
        <f>digestion_page!C24</f>
        <v>0</v>
      </c>
      <c r="I30" s="11">
        <f>(LEFT(B30,FIND("/",B30)-1)/RIGHT(B30,LEN(B30)-FIND("/", B30)))</f>
        <v>0</v>
      </c>
    </row>
    <row r="32" spans="1:9">
      <c r="A32" s="12" t="s">
        <v>47</v>
      </c>
      <c r="B32" s="12"/>
      <c r="C32" s="13">
        <f>AVERAGE(D29:D30)</f>
        <v>0</v>
      </c>
    </row>
    <row r="33" spans="1:6">
      <c r="A33" s="12" t="s">
        <v>47</v>
      </c>
      <c r="B33" s="12"/>
      <c r="C33" s="14">
        <f>AVERAGE(E29:E30)</f>
        <v>0</v>
      </c>
    </row>
    <row r="34" spans="1:6">
      <c r="A34" s="12" t="s">
        <v>48</v>
      </c>
      <c r="B34" s="12"/>
      <c r="C34" s="3"/>
    </row>
    <row r="35" spans="1:6">
      <c r="A35" s="12" t="s">
        <v>49</v>
      </c>
      <c r="B35" s="12"/>
      <c r="C35" s="14">
        <f>AVERAGE(E29:E30)*(C34)</f>
        <v>0</v>
      </c>
    </row>
    <row r="36" spans="1:6">
      <c r="A36" s="12" t="s">
        <v>50</v>
      </c>
      <c r="B36" s="12"/>
      <c r="C36" s="15" t="s">
        <v>53</v>
      </c>
      <c r="D36" s="15"/>
      <c r="E36" s="15"/>
      <c r="F36" s="15"/>
    </row>
    <row r="38" spans="1:6">
      <c r="B38" s="12" t="s">
        <v>54</v>
      </c>
      <c r="C38" s="16"/>
      <c r="D38" s="16"/>
      <c r="E38" s="16"/>
      <c r="F38" s="16"/>
    </row>
    <row r="39" spans="1:6">
      <c r="C39" s="16"/>
      <c r="D39" s="16"/>
      <c r="E39" s="16"/>
      <c r="F39" s="16"/>
    </row>
    <row r="40" spans="1:6">
      <c r="C40" s="16"/>
      <c r="D40" s="16"/>
      <c r="E40" s="16"/>
      <c r="F40" s="16"/>
    </row>
  </sheetData>
  <mergeCells count="2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C38:F40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55</v>
      </c>
    </row>
    <row r="3" spans="1:1">
      <c r="A3" s="17" t="s">
        <v>56</v>
      </c>
    </row>
    <row r="5" spans="1:1">
      <c r="A5" s="17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200126511</vt:lpstr>
      <vt:lpstr>200126512</vt:lpstr>
      <vt:lpstr>200126513</vt:lpstr>
      <vt:lpstr>200126514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2026-06-02T00:44:02Z</dcterms:created>
  <dcterms:modified xsi:type="dcterms:W3CDTF">2026-06-02T00:44:02Z</dcterms:modified>
</cp:coreProperties>
</file>