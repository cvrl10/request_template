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<sst xmlns="http://schemas.openxmlformats.org/spreadsheetml/2006/main" count="90" uniqueCount="39">
  <si>
    <t>Date:</t>
  </si>
  <si>
    <t>Request ID:</t>
  </si>
  <si>
    <t>TEST</t>
  </si>
  <si>
    <t>Hotplate</t>
  </si>
  <si>
    <t>Analyte(s)</t>
  </si>
  <si>
    <t>Al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</si>
  <si>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</si>
  <si>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</si>
  <si>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</si>
  <si>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</si>
  <si>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</si>
  <si>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</si>
  <si>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</si>
  <si>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Al, Ca</t>
  </si>
  <si>
    <t>200120001_3</t>
  </si>
  <si>
    <t>200120001_4</t>
  </si>
  <si>
    <t>Ca</t>
  </si>
  <si>
    <t>200120001_5</t>
  </si>
  <si>
    <t>200120001_6</t>
  </si>
  <si>
    <t>Al ICP analysis</t>
  </si>
  <si>
    <t>sample</t>
  </si>
  <si>
    <t>Dilution</t>
  </si>
  <si>
    <t>conc. [mg/L]</t>
  </si>
  <si>
    <t>Al_ppm</t>
  </si>
  <si>
    <t>%Al</t>
  </si>
  <si>
    <t>al result:</t>
  </si>
  <si>
    <t>al lot:</t>
  </si>
  <si>
    <t>Ca ICP analysis</t>
  </si>
  <si>
    <t>Ca_ppm</t>
  </si>
  <si>
    <t>%Ca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</si>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</sst>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9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46266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4" spans="1:3">
      <c r="A14" s="4" t="s">
        <v>3</v>
      </c>
      <c r="B14" s="4"/>
      <c r="C14" s="4"/>
    </row>
    <row r="15" spans="1:3">
      <c r="A15" s="5" t="s">
        <v>4</v>
      </c>
      <c r="B15" s="6" t="s">
        <v>13</v>
      </c>
      <c r="C15" s="6"/>
    </row>
    <row r="16" spans="1:3">
      <c r="A16" s="5" t="s">
        <v>6</v>
      </c>
      <c r="B16" s="6"/>
      <c r="C16" s="6"/>
    </row>
    <row r="17" spans="1:3">
      <c r="A17" s="5" t="s">
        <v>7</v>
      </c>
      <c r="B17" s="6"/>
      <c r="C17" s="6"/>
    </row>
    <row r="18" spans="1:3">
      <c r="A18" s="5" t="s">
        <v>8</v>
      </c>
      <c r="B18" s="5" t="s">
        <v>9</v>
      </c>
      <c r="C18" s="5" t="s">
        <v>10</v>
      </c>
    </row>
    <row r="19" spans="1:3">
      <c r="A19" s="5" t="s">
        <v>14</v>
      </c>
      <c r="B19" s="7"/>
      <c r="C19" s="6"/>
    </row>
    <row r="20" spans="1:3">
      <c r="A20" s="5" t="s">
        <v>15</v>
      </c>
      <c r="B20" s="7"/>
      <c r="C20" s="6"/>
    </row>
    <row r="23" spans="1:3">
      <c r="A23" s="4" t="s">
        <v>3</v>
      </c>
      <c r="B23" s="4"/>
      <c r="C23" s="4"/>
    </row>
    <row r="24" spans="1:3">
      <c r="A24" s="5" t="s">
        <v>4</v>
      </c>
      <c r="B24" s="6" t="s">
        <v>16</v>
      </c>
      <c r="C24" s="6"/>
    </row>
    <row r="25" spans="1:3">
      <c r="A25" s="5" t="s">
        <v>6</v>
      </c>
      <c r="B25" s="6"/>
      <c r="C25" s="6"/>
    </row>
    <row r="26" spans="1:3">
      <c r="A26" s="5" t="s">
        <v>7</v>
      </c>
      <c r="B26" s="6"/>
      <c r="C26" s="6"/>
    </row>
    <row r="27" spans="1:3">
      <c r="A27" s="5" t="s">
        <v>8</v>
      </c>
      <c r="B27" s="5" t="s">
        <v>9</v>
      </c>
      <c r="C27" s="5" t="s">
        <v>10</v>
      </c>
    </row>
    <row r="28" spans="1:3">
      <c r="A28" s="5" t="s">
        <v>17</v>
      </c>
      <c r="B28" s="7"/>
      <c r="C28" s="6"/>
    </row>
    <row r="29" spans="1:3">
      <c r="A29" s="5" t="s">
        <v>18</v>
      </c>
      <c r="B29" s="7"/>
      <c r="C29" s="6"/>
    </row>
  </sheetData>
  <mergeCells count="12">
    <mergeCell ref="A5:C5"/>
    <mergeCell ref="B6:C6"/>
    <mergeCell ref="B7:C7"/>
    <mergeCell ref="B8:C8"/>
    <mergeCell ref="A14:C14"/>
    <mergeCell ref="B15:C15"/>
    <mergeCell ref="B16:C16"/>
    <mergeCell ref="B17:C17"/>
    <mergeCell ref="A23:C23"/>
    <mergeCell ref="B24:C24"/>
    <mergeCell ref="B25:C25"/>
    <mergeCell ref="B26:C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7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35" width="7.7109375" customWidth="1"/>
  </cols>
  <sheetData>
    <row r="1" spans="1:9">
      <c r="A1" s="1" t="s">
        <v>0</v>
      </c>
      <c r="B1" s="2">
        <v>46266</v>
      </c>
    </row>
    <row r="2" spans="1:9">
      <c r="A2" s="1" t="s">
        <v>1</v>
      </c>
      <c r="B2" s="3" t="s">
        <v>2</v>
      </c>
    </row>
    <row r="5" spans="1:9">
      <c r="A5" s="3" t="s">
        <v>19</v>
      </c>
      <c r="B5" s="3"/>
    </row>
    <row r="6" spans="1:9">
      <c r="A6" s="5" t="s">
        <v>20</v>
      </c>
      <c r="B6" s="5" t="s">
        <v>21</v>
      </c>
      <c r="C6" s="5" t="s">
        <v>22</v>
      </c>
      <c r="D6" s="5" t="s">
        <v>23</v>
      </c>
      <c r="E6" s="5" t="s">
        <v>24</v>
      </c>
    </row>
    <row r="7" spans="1:9">
      <c r="A7" s="5" t="s">
        <v>11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digestion_page!B10</f>
        <v>0</v>
      </c>
      <c r="H7" s="10">
        <f>digestion_page!C10</f>
        <v>0</v>
      </c>
      <c r="I7" s="10">
        <f>(LEFT(B7,FIND("/",B7)-1)/RIGHT(B7,LEN(B7)-FIND("/", B7)))</f>
        <v>0</v>
      </c>
    </row>
    <row r="8" spans="1:9">
      <c r="A8" s="5" t="s">
        <v>12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digestion_page!B11</f>
        <v>0</v>
      </c>
      <c r="H8" s="10">
        <f>digestion_page!C11</f>
        <v>0</v>
      </c>
      <c r="I8" s="10">
        <f>(LEFT(B8,FIND("/",B8)-1)/RIGHT(B8,LEN(B8)-FIND("/", B8)))</f>
        <v>0</v>
      </c>
    </row>
    <row r="10" spans="1:9">
      <c r="A10" s="11" t="s">
        <v>25</v>
      </c>
      <c r="B10" s="11"/>
      <c r="C10" s="12">
        <f>AVERAGE(D7:D8)</f>
        <v>0</v>
      </c>
    </row>
    <row r="11" spans="1:9">
      <c r="A11" s="11" t="s">
        <v>25</v>
      </c>
      <c r="B11" s="11"/>
      <c r="C11" s="13">
        <f>AVERAGE(E7:E8)</f>
        <v>0</v>
      </c>
    </row>
    <row r="12" spans="1:9">
      <c r="A12" s="11" t="s">
        <v>26</v>
      </c>
      <c r="B12" s="11"/>
      <c r="C12" s="14"/>
      <c r="D12" s="14"/>
      <c r="E12" s="14"/>
      <c r="F12" s="14"/>
    </row>
    <row r="14" spans="1:9">
      <c r="A14" s="3" t="s">
        <v>19</v>
      </c>
      <c r="B14" s="3"/>
    </row>
    <row r="15" spans="1:9">
      <c r="A15" s="5" t="s">
        <v>20</v>
      </c>
      <c r="B15" s="5" t="s">
        <v>21</v>
      </c>
      <c r="C15" s="5" t="s">
        <v>22</v>
      </c>
      <c r="D15" s="5" t="s">
        <v>23</v>
      </c>
      <c r="E15" s="5" t="s">
        <v>24</v>
      </c>
    </row>
    <row r="16" spans="1:9">
      <c r="A16" s="5" t="s">
        <v>14</v>
      </c>
      <c r="B16" s="6">
        <f>"1/1"</f>
        <v>0</v>
      </c>
      <c r="C16" s="8"/>
      <c r="D16" s="9">
        <f>((C16)*(H16)*(I16))/(G16*1)</f>
        <v>0</v>
      </c>
      <c r="E16" s="9">
        <f>D16/10000</f>
        <v>0</v>
      </c>
      <c r="G16" s="10">
        <f>digestion_page!B19</f>
        <v>0</v>
      </c>
      <c r="H16" s="10">
        <f>digestion_page!C19</f>
        <v>0</v>
      </c>
      <c r="I16" s="10">
        <f>(LEFT(B16,FIND("/",B16)-1)/RIGHT(B16,LEN(B16)-FIND("/", B16)))</f>
        <v>0</v>
      </c>
    </row>
    <row r="17" spans="1:9">
      <c r="A17" s="5" t="s">
        <v>15</v>
      </c>
      <c r="B17" s="6">
        <f>"1/1"</f>
        <v>0</v>
      </c>
      <c r="C17" s="8"/>
      <c r="D17" s="9">
        <f>((C17)*(H17)*(I17))/(G17*1)</f>
        <v>0</v>
      </c>
      <c r="E17" s="9">
        <f>D17/10000</f>
        <v>0</v>
      </c>
      <c r="G17" s="10">
        <f>digestion_page!B20</f>
        <v>0</v>
      </c>
      <c r="H17" s="10">
        <f>digestion_page!C20</f>
        <v>0</v>
      </c>
      <c r="I17" s="10">
        <f>(LEFT(B17,FIND("/",B17)-1)/RIGHT(B17,LEN(B17)-FIND("/", B17)))</f>
        <v>0</v>
      </c>
    </row>
    <row r="19" spans="1:9">
      <c r="A19" s="11" t="s">
        <v>25</v>
      </c>
      <c r="B19" s="11"/>
      <c r="C19" s="12">
        <f>AVERAGE(D16:D17)</f>
        <v>0</v>
      </c>
    </row>
    <row r="20" spans="1:9">
      <c r="A20" s="11" t="s">
        <v>25</v>
      </c>
      <c r="B20" s="11"/>
      <c r="C20" s="13">
        <f>AVERAGE(E16:E17)</f>
        <v>0</v>
      </c>
    </row>
    <row r="21" spans="1:9">
      <c r="A21" s="11" t="s">
        <v>26</v>
      </c>
      <c r="B21" s="11"/>
      <c r="C21" s="14"/>
      <c r="D21" s="14"/>
      <c r="E21" s="14"/>
      <c r="F21" s="14"/>
    </row>
    <row r="23" spans="1:9">
      <c r="A23" s="3" t="s">
        <v>27</v>
      </c>
      <c r="B23" s="3"/>
    </row>
    <row r="24" spans="1:9">
      <c r="A24" s="5" t="s">
        <v>20</v>
      </c>
      <c r="B24" s="5" t="s">
        <v>21</v>
      </c>
      <c r="C24" s="5" t="s">
        <v>22</v>
      </c>
      <c r="D24" s="5" t="s">
        <v>28</v>
      </c>
      <c r="E24" s="5" t="s">
        <v>29</v>
      </c>
    </row>
    <row r="25" spans="1:9">
      <c r="A25" s="5" t="s">
        <v>14</v>
      </c>
      <c r="B25" s="6">
        <f>"1/1"</f>
        <v>0</v>
      </c>
      <c r="C25" s="8"/>
      <c r="D25" s="9">
        <f>((C25)*(H25)*(I25))/(G25*1)</f>
        <v>0</v>
      </c>
      <c r="E25" s="9">
        <f>D25/10000</f>
        <v>0</v>
      </c>
      <c r="G25" s="10">
        <f>digestion_page!B19</f>
        <v>0</v>
      </c>
      <c r="H25" s="10">
        <f>digestion_page!C19</f>
        <v>0</v>
      </c>
      <c r="I25" s="10">
        <f>(LEFT(B25,FIND("/",B25)-1)/RIGHT(B25,LEN(B25)-FIND("/", B25)))</f>
        <v>0</v>
      </c>
    </row>
    <row r="26" spans="1:9">
      <c r="A26" s="5" t="s">
        <v>15</v>
      </c>
      <c r="B26" s="6">
        <f>"1/1"</f>
        <v>0</v>
      </c>
      <c r="C26" s="8"/>
      <c r="D26" s="9">
        <f>((C26)*(H26)*(I26))/(G26*1)</f>
        <v>0</v>
      </c>
      <c r="E26" s="9">
        <f>D26/10000</f>
        <v>0</v>
      </c>
      <c r="G26" s="10">
        <f>digestion_page!B20</f>
        <v>0</v>
      </c>
      <c r="H26" s="10">
        <f>digestion_page!C20</f>
        <v>0</v>
      </c>
      <c r="I26" s="10">
        <f>(LEFT(B26,FIND("/",B26)-1)/RIGHT(B26,LEN(B26)-FIND("/", B26)))</f>
        <v>0</v>
      </c>
    </row>
    <row r="28" spans="1:9">
      <c r="A28" s="11" t="s">
        <v>30</v>
      </c>
      <c r="B28" s="11"/>
      <c r="C28" s="12">
        <f>AVERAGE(D25:D26)</f>
        <v>0</v>
      </c>
    </row>
    <row r="29" spans="1:9">
      <c r="A29" s="11" t="s">
        <v>30</v>
      </c>
      <c r="B29" s="11"/>
      <c r="C29" s="13">
        <f>AVERAGE(E25:E26)</f>
        <v>0</v>
      </c>
    </row>
    <row r="30" spans="1:9">
      <c r="A30" s="11" t="s">
        <v>31</v>
      </c>
      <c r="B30" s="11"/>
      <c r="C30" s="3"/>
    </row>
    <row r="31" spans="1:9">
      <c r="A31" s="11" t="s">
        <v>32</v>
      </c>
      <c r="B31" s="11"/>
      <c r="C31" s="13">
        <f>AVERAGE(E25:E26)*(C30)</f>
        <v>0</v>
      </c>
    </row>
    <row r="32" spans="1:9">
      <c r="A32" s="11" t="s">
        <v>33</v>
      </c>
      <c r="B32" s="11"/>
      <c r="C32" s="14" t="s">
        <v>34</v>
      </c>
      <c r="D32" s="14"/>
      <c r="E32" s="14"/>
      <c r="F32" s="14"/>
    </row>
    <row r="34" spans="1:9">
      <c r="A34" s="3" t="s">
        <v>27</v>
      </c>
      <c r="B34" s="3"/>
    </row>
    <row r="35" spans="1:9">
      <c r="A35" s="5" t="s">
        <v>20</v>
      </c>
      <c r="B35" s="5" t="s">
        <v>21</v>
      </c>
      <c r="C35" s="5" t="s">
        <v>22</v>
      </c>
      <c r="D35" s="5" t="s">
        <v>28</v>
      </c>
      <c r="E35" s="5" t="s">
        <v>29</v>
      </c>
    </row>
    <row r="36" spans="1:9">
      <c r="A36" s="5" t="s">
        <v>17</v>
      </c>
      <c r="B36" s="6">
        <f>"1/1"</f>
        <v>0</v>
      </c>
      <c r="C36" s="8"/>
      <c r="D36" s="9">
        <f>((C36)*(H36)*(I36))/(G36*1)</f>
        <v>0</v>
      </c>
      <c r="E36" s="9">
        <f>D36/10000</f>
        <v>0</v>
      </c>
      <c r="G36" s="10">
        <f>digestion_page!B28</f>
        <v>0</v>
      </c>
      <c r="H36" s="10">
        <f>digestion_page!C28</f>
        <v>0</v>
      </c>
      <c r="I36" s="10">
        <f>(LEFT(B36,FIND("/",B36)-1)/RIGHT(B36,LEN(B36)-FIND("/", B36)))</f>
        <v>0</v>
      </c>
    </row>
    <row r="37" spans="1:9">
      <c r="A37" s="5" t="s">
        <v>18</v>
      </c>
      <c r="B37" s="6">
        <f>"1/1"</f>
        <v>0</v>
      </c>
      <c r="C37" s="8"/>
      <c r="D37" s="9">
        <f>((C37)*(H37)*(I37))/(G37*1)</f>
        <v>0</v>
      </c>
      <c r="E37" s="9">
        <f>D37/10000</f>
        <v>0</v>
      </c>
      <c r="G37" s="10">
        <f>digestion_page!B29</f>
        <v>0</v>
      </c>
      <c r="H37" s="10">
        <f>digestion_page!C29</f>
        <v>0</v>
      </c>
      <c r="I37" s="10">
        <f>(LEFT(B37,FIND("/",B37)-1)/RIGHT(B37,LEN(B37)-FIND("/", B37)))</f>
        <v>0</v>
      </c>
    </row>
    <row r="39" spans="1:9">
      <c r="A39" s="11" t="s">
        <v>30</v>
      </c>
      <c r="B39" s="11"/>
      <c r="C39" s="12">
        <f>AVERAGE(D36:D37)</f>
        <v>0</v>
      </c>
    </row>
    <row r="40" spans="1:9">
      <c r="A40" s="11" t="s">
        <v>30</v>
      </c>
      <c r="B40" s="11"/>
      <c r="C40" s="13">
        <f>AVERAGE(E36:E37)</f>
        <v>0</v>
      </c>
    </row>
    <row r="41" spans="1:9">
      <c r="A41" s="11" t="s">
        <v>31</v>
      </c>
      <c r="B41" s="11"/>
      <c r="C41" s="3"/>
    </row>
    <row r="42" spans="1:9">
      <c r="A42" s="11" t="s">
        <v>32</v>
      </c>
      <c r="B42" s="11"/>
      <c r="C42" s="13">
        <f>AVERAGE(E36:E37)*(C41)</f>
        <v>0</v>
      </c>
    </row>
    <row r="43" spans="1:9">
      <c r="A43" s="11" t="s">
        <v>33</v>
      </c>
      <c r="B43" s="11"/>
      <c r="C43" s="14" t="s">
        <v>34</v>
      </c>
      <c r="D43" s="14"/>
      <c r="E43" s="14"/>
      <c r="F43" s="14"/>
    </row>
    <row r="45" spans="1:9">
      <c r="B45" s="11" t="s">
        <v>35</v>
      </c>
      <c r="C45" s="15"/>
      <c r="D45" s="15"/>
      <c r="E45" s="15"/>
      <c r="F45" s="15"/>
    </row>
    <row r="46" spans="1:9">
      <c r="C46" s="15"/>
      <c r="D46" s="15"/>
      <c r="E46" s="15"/>
      <c r="F46" s="15"/>
    </row>
    <row r="47" spans="1:9">
      <c r="C47" s="15"/>
      <c r="D47" s="15"/>
      <c r="E47" s="15"/>
      <c r="F47" s="15"/>
    </row>
  </sheetData>
  <mergeCells count="25">
    <mergeCell ref="A5:B5"/>
    <mergeCell ref="A10:B10"/>
    <mergeCell ref="A11:B11"/>
    <mergeCell ref="A12:B12"/>
    <mergeCell ref="C12:F12"/>
    <mergeCell ref="A14:B14"/>
    <mergeCell ref="A19:B19"/>
    <mergeCell ref="A20:B20"/>
    <mergeCell ref="A21:B21"/>
    <mergeCell ref="C21:F21"/>
    <mergeCell ref="A23:B23"/>
    <mergeCell ref="A28:B28"/>
    <mergeCell ref="A29:B29"/>
    <mergeCell ref="A30:B30"/>
    <mergeCell ref="A31:B31"/>
    <mergeCell ref="A32:B32"/>
    <mergeCell ref="C32:F32"/>
    <mergeCell ref="A34:B34"/>
    <mergeCell ref="A39:B39"/>
    <mergeCell ref="A40:B40"/>
    <mergeCell ref="A41:B41"/>
    <mergeCell ref="A42:B42"/>
    <mergeCell ref="A43:B43"/>
    <mergeCell ref="C43:F43"/>
    <mergeCell ref="C45:F47"/>
  </mergeCells>
  <conditionalFormatting sqref="C12:F12">
    <cfRule type="containsBlanks" dxfId="0" priority="1">
      <formula>LEN(TRIM(C12))=0</formula>
    </cfRule>
  </conditionalFormatting>
  <conditionalFormatting sqref="C21:F21">
    <cfRule type="containsBlanks" dxfId="0" priority="2">
      <formula>LEN(TRIM(C21))=0</formula>
    </cfRule>
  </conditionalFormatting>
  <conditionalFormatting sqref="C32:F32">
    <cfRule type="containsBlanks" dxfId="0" priority="3">
      <formula>LEN(TRIM(C32))=0</formula>
    </cfRule>
  </conditionalFormatting>
  <conditionalFormatting sqref="C43:F43">
    <cfRule type="containsBlanks" dxfId="0" priority="4">
      <formula>LEN(TRIM(C43))=0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36</v>
      </c>
    </row>
    <row r="3" spans="1:1">
      <c r="A3" s="16" t="s">
        <v>37</v>
      </c>
    </row>
    <row r="5" spans="1:1">
      <c r="A5" s="16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200120001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2026-09-01T19:44:51Z</dcterms:created>
  <dcterms:modified xsi:type="dcterms:W3CDTF">2026-09-01T19:44:51Z</dcterms:modified>
</cp:coreProperties>
</file>