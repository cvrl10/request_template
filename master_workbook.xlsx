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200126513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<sst xmlns="http://schemas.openxmlformats.org/spreadsheetml/2006/main" count="92" uniqueCount="50">
  <si>
    <t>Date:</t>
  </si>
  <si>
    <t>Request ID:</t>
  </si>
  <si>
    <t>TEST</t>
  </si>
  <si>
    <t>Microwave</t>
  </si>
  <si>
    <t>Element(s)</t>
  </si>
  <si>
    <t>Ca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</si>
  <si>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</si>
  <si>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</si>
  <si>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</si>
  <si>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</si>
  <si>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</si>
  <si>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</si>
  <si>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</si>
  <si>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</si>
  <si>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</si>
  <si>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</si>
  <si>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</si>
  <si>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</si>
  <si>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</si>
  <si>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</si>
  <si>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</si>
  <si>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</si>
  <si>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</si>
  <si>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200126513_1</t>
  </si>
  <si>
    <t>200126513_2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</si>
  <si>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</si>
  <si>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</si>
  <si>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</si>
  <si>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</si>
  <si>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</si>
  <si>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</si>
  <si>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</si>
  <si>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</si>
  <si>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</si>
  <si>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</si>
  <si>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Manufacturer: Assurance, 28-35CAY exp: 2026-10-30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</si>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</sst>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46164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  <row r="19" spans="1:3">
      <c r="A19" s="5" t="s">
        <v>21</v>
      </c>
      <c r="B19" s="8"/>
      <c r="C19" s="6"/>
    </row>
    <row r="20" spans="1:3">
      <c r="A20" s="5" t="s">
        <v>22</v>
      </c>
      <c r="B20" s="8"/>
      <c r="C20" s="6"/>
    </row>
    <row r="21" spans="1:3">
      <c r="A21" s="5" t="s">
        <v>23</v>
      </c>
      <c r="B21" s="8"/>
      <c r="C21" s="6"/>
    </row>
    <row r="22" spans="1:3">
      <c r="A22" s="5" t="s">
        <v>24</v>
      </c>
      <c r="B22" s="8"/>
      <c r="C22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46164</v>
      </c>
    </row>
    <row r="2" spans="1:9">
      <c r="A2" s="1" t="s">
        <v>1</v>
      </c>
      <c r="B2" s="3" t="s">
        <v>2</v>
      </c>
    </row>
    <row r="5" spans="1:9">
      <c r="A5" s="3" t="s">
        <v>25</v>
      </c>
      <c r="B5" s="3"/>
    </row>
    <row r="6" spans="1:9">
      <c r="A6" s="5" t="s">
        <v>26</v>
      </c>
      <c r="B6" s="5" t="s">
        <v>27</v>
      </c>
      <c r="C6" s="5" t="s">
        <v>28</v>
      </c>
      <c r="D6" s="5" t="s">
        <v>29</v>
      </c>
      <c r="E6" s="5" t="s">
        <v>30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31</v>
      </c>
      <c r="B10" s="12"/>
      <c r="C10" s="13">
        <f>AVERAGE(D7:D8)</f>
        <v>0</v>
      </c>
    </row>
    <row r="11" spans="1:9">
      <c r="A11" s="12" t="s">
        <v>31</v>
      </c>
      <c r="B11" s="12"/>
      <c r="C11" s="14">
        <f>AVERAGE(E7:E8)</f>
        <v>0</v>
      </c>
    </row>
    <row r="12" spans="1:9">
      <c r="A12" s="12" t="s">
        <v>32</v>
      </c>
      <c r="B12" s="12"/>
      <c r="C12" s="3"/>
    </row>
    <row r="13" spans="1:9">
      <c r="A13" s="12" t="s">
        <v>33</v>
      </c>
      <c r="B13" s="12"/>
      <c r="C13" s="14">
        <f>AVERAGE(E7:E8)*(C12)</f>
        <v>0</v>
      </c>
    </row>
    <row r="14" spans="1:9">
      <c r="A14" s="12" t="s">
        <v>34</v>
      </c>
      <c r="B14" s="12"/>
      <c r="C14" s="15" t="s">
        <v>35</v>
      </c>
      <c r="D14" s="15"/>
      <c r="E14" s="15"/>
      <c r="F14" s="15"/>
    </row>
    <row r="16" spans="1:9">
      <c r="B16" s="12" t="s">
        <v>36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46164</v>
      </c>
    </row>
    <row r="2" spans="1:9">
      <c r="A2" s="1" t="s">
        <v>1</v>
      </c>
      <c r="B2" s="3" t="s">
        <v>2</v>
      </c>
    </row>
    <row r="5" spans="1:9">
      <c r="A5" s="3" t="s">
        <v>25</v>
      </c>
      <c r="B5" s="3"/>
    </row>
    <row r="6" spans="1:9">
      <c r="A6" s="5" t="s">
        <v>26</v>
      </c>
      <c r="B6" s="5" t="s">
        <v>27</v>
      </c>
      <c r="C6" s="5" t="s">
        <v>28</v>
      </c>
      <c r="D6" s="5" t="s">
        <v>29</v>
      </c>
      <c r="E6" s="5" t="s">
        <v>30</v>
      </c>
    </row>
    <row r="7" spans="1:9">
      <c r="A7" s="5" t="s">
        <v>21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31</v>
      </c>
      <c r="B10" s="12"/>
      <c r="C10" s="13">
        <f>AVERAGE(D7:D8)</f>
        <v>0</v>
      </c>
    </row>
    <row r="11" spans="1:9">
      <c r="A11" s="12" t="s">
        <v>31</v>
      </c>
      <c r="B11" s="12"/>
      <c r="C11" s="14">
        <f>AVERAGE(E7:E8)</f>
        <v>0</v>
      </c>
    </row>
    <row r="12" spans="1:9">
      <c r="A12" s="12" t="s">
        <v>32</v>
      </c>
      <c r="B12" s="12"/>
      <c r="C12" s="3"/>
    </row>
    <row r="13" spans="1:9">
      <c r="A13" s="12" t="s">
        <v>33</v>
      </c>
      <c r="B13" s="12"/>
      <c r="C13" s="14">
        <f>AVERAGE(E7:E8)*(C12)</f>
        <v>0</v>
      </c>
    </row>
    <row r="14" spans="1:9">
      <c r="A14" s="12" t="s">
        <v>34</v>
      </c>
      <c r="B14" s="12"/>
      <c r="C14" s="15" t="s">
        <v>35</v>
      </c>
      <c r="D14" s="15"/>
      <c r="E14" s="15"/>
      <c r="F14" s="15"/>
    </row>
    <row r="16" spans="1:9">
      <c r="B16" s="12" t="s">
        <v>36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5" width="4.7109375" bestFit="1" customWidth="1"/>
  </cols>
  <sheetData>
    <row r="1" spans="1:9">
      <c r="A1" s="1" t="s">
        <v>0</v>
      </c>
      <c r="B1" s="2">
        <v>46164</v>
      </c>
    </row>
    <row r="2" spans="1:9">
      <c r="A2" s="1" t="s">
        <v>1</v>
      </c>
      <c r="B2" s="3" t="s">
        <v>2</v>
      </c>
    </row>
    <row r="5" spans="1:9">
      <c r="A5" s="3" t="s">
        <v>25</v>
      </c>
      <c r="B5" s="3"/>
    </row>
    <row r="6" spans="1:9">
      <c r="A6" s="5" t="s">
        <v>26</v>
      </c>
      <c r="B6" s="5" t="s">
        <v>27</v>
      </c>
      <c r="C6" s="5" t="s">
        <v>28</v>
      </c>
      <c r="D6" s="5" t="s">
        <v>29</v>
      </c>
      <c r="E6" s="5" t="s">
        <v>30</v>
      </c>
    </row>
    <row r="7" spans="1:9">
      <c r="A7" s="5" t="s">
        <v>23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digestion_page!B21</f>
        <v>0</v>
      </c>
      <c r="H7" s="11">
        <f>digestion_page!C21</f>
        <v>0</v>
      </c>
      <c r="I7" s="11">
        <f>(LEFT(B7,FIND("/",B7)-1)/RIGHT(B7,LEN(B7)-FIND("/", B7)))</f>
        <v>0</v>
      </c>
    </row>
    <row r="8" spans="1:9">
      <c r="A8" s="5" t="s">
        <v>24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digestion_page!B22</f>
        <v>0</v>
      </c>
      <c r="H8" s="11">
        <f>digestion_page!C22</f>
        <v>0</v>
      </c>
      <c r="I8" s="11">
        <f>(LEFT(B8,FIND("/",B8)-1)/RIGHT(B8,LEN(B8)-FIND("/", B8)))</f>
        <v>0</v>
      </c>
    </row>
    <row r="10" spans="1:9">
      <c r="A10" s="12" t="s">
        <v>31</v>
      </c>
      <c r="B10" s="12"/>
      <c r="C10" s="13">
        <f>AVERAGE(D7:D8)</f>
        <v>0</v>
      </c>
    </row>
    <row r="11" spans="1:9">
      <c r="A11" s="12" t="s">
        <v>31</v>
      </c>
      <c r="B11" s="12"/>
      <c r="C11" s="14">
        <f>AVERAGE(E7:E8)</f>
        <v>0</v>
      </c>
    </row>
    <row r="12" spans="1:9">
      <c r="A12" s="12" t="s">
        <v>32</v>
      </c>
      <c r="B12" s="12"/>
      <c r="C12" s="3"/>
    </row>
    <row r="13" spans="1:9">
      <c r="A13" s="12" t="s">
        <v>33</v>
      </c>
      <c r="B13" s="12"/>
      <c r="C13" s="14">
        <f>AVERAGE(E7:E8)*(C12)</f>
        <v>0</v>
      </c>
    </row>
    <row r="14" spans="1:9">
      <c r="A14" s="12" t="s">
        <v>34</v>
      </c>
      <c r="B14" s="12"/>
      <c r="C14" s="15" t="s">
        <v>35</v>
      </c>
      <c r="D14" s="15"/>
      <c r="E14" s="15"/>
      <c r="F14" s="15"/>
    </row>
    <row r="16" spans="1:9">
      <c r="B16" s="12" t="s">
        <v>36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37</v>
      </c>
    </row>
    <row r="2" spans="1:1">
      <c r="A2" s="17" t="s">
        <v>38</v>
      </c>
    </row>
    <row r="3" spans="1:1">
      <c r="A3" s="17" t="s">
        <v>39</v>
      </c>
    </row>
    <row r="5" spans="1:1">
      <c r="A5" s="17" t="s">
        <v>40</v>
      </c>
    </row>
    <row r="7" spans="1:1">
      <c r="A7" s="17" t="s">
        <v>41</v>
      </c>
    </row>
    <row r="9" spans="1:1">
      <c r="A9" s="17" t="s">
        <v>42</v>
      </c>
    </row>
    <row r="11" spans="1:1">
      <c r="A11" s="17" t="s">
        <v>43</v>
      </c>
    </row>
    <row r="13" spans="1:1">
      <c r="A13" s="17" t="s">
        <v>44</v>
      </c>
    </row>
    <row r="15" spans="1:1">
      <c r="A15" s="17" t="s">
        <v>45</v>
      </c>
    </row>
    <row r="17" spans="1:1">
      <c r="A17" s="17" t="s">
        <v>46</v>
      </c>
    </row>
    <row r="19" spans="1:1">
      <c r="A19" s="17" t="s">
        <v>47</v>
      </c>
    </row>
    <row r="21" spans="1:1">
      <c r="A21" s="17" t="s">
        <v>48</v>
      </c>
    </row>
    <row r="23" spans="1:1">
      <c r="A23" s="17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200126511</vt:lpstr>
      <vt:lpstr>200126512</vt:lpstr>
      <vt:lpstr>200126513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2026-05-22T17:09:06Z</dcterms:created>
  <dcterms:modified xsi:type="dcterms:W3CDTF">2026-05-22T17:09:06Z</dcterms:modified>
</cp:coreProperties>
</file>