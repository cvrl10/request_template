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20012000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<sst xmlns="http://schemas.openxmlformats.org/spreadsheetml/2006/main" count="124" uniqueCount="48">
  <si>
    <t>Date:</t>
  </si>
  <si>
    <t>Request ID:</t>
  </si>
  <si>
    <t>100048665</t>
  </si>
  <si>
    <t>Microwave</t>
  </si>
  <si>
    <t>Element(s)</t>
  </si>
  <si>
    <t>Al, 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</si>
  <si>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</si>
  <si>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</si>
  <si>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</si>
  <si>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</si>
  <si>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</si>
  <si>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</si>
  <si>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</si>
  <si>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</si>
  <si>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</si>
  <si>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</si>
  <si>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</si>
  <si>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</si>
  <si>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</si>
  <si>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</si>
  <si>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</si>
  <si>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</si>
  <si>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</si>
  <si>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200120003_1</t>
  </si>
  <si>
    <t>200120003_2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</si>
  <si>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</si>
  <si>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</si>
  <si>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</si>
  <si>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</si>
  <si>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</si>
  <si>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</si>
  <si>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</si>
  <si>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</si>
  <si>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</si>
  <si>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</si>
  <si>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Ca ICP analysis</t>
  </si>
  <si>
    <t>Ca_ppm</t>
  </si>
  <si>
    <t>%Ca</t>
  </si>
  <si>
    <t>ca result:</t>
  </si>
  <si>
    <t>ca oxide factor:</t>
  </si>
  <si>
    <t>ca oxide result:</t>
  </si>
  <si>
    <t>ca lot:</t>
  </si>
  <si>
    <t>Manufacturer: Assurance, 27-171ALT exp: 2026-07-30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</si>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</sst>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46197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1" spans="1:3">
      <c r="A21" s="5" t="s">
        <v>23</v>
      </c>
      <c r="B21" s="8"/>
      <c r="C21" s="6"/>
    </row>
    <row r="22" spans="1:3">
      <c r="A22" s="5" t="s">
        <v>24</v>
      </c>
      <c r="B22" s="8"/>
      <c r="C22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42</v>
      </c>
      <c r="D14" s="15"/>
      <c r="E14" s="15"/>
      <c r="F14" s="15"/>
    </row>
    <row r="16" spans="1:9">
      <c r="A16" s="3" t="s">
        <v>35</v>
      </c>
      <c r="B16" s="3"/>
    </row>
    <row r="17" spans="1:9">
      <c r="A17" s="5" t="s">
        <v>26</v>
      </c>
      <c r="B17" s="5" t="s">
        <v>27</v>
      </c>
      <c r="C17" s="5" t="s">
        <v>28</v>
      </c>
      <c r="D17" s="5" t="s">
        <v>36</v>
      </c>
      <c r="E17" s="5" t="s">
        <v>37</v>
      </c>
    </row>
    <row r="18" spans="1:9">
      <c r="A18" s="5" t="s">
        <v>19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digestion_page!B17</f>
        <v>0</v>
      </c>
      <c r="H18" s="11">
        <f>digestion_page!C17</f>
        <v>0</v>
      </c>
      <c r="I18" s="11">
        <f>(LEFT(B18,FIND("/",B18)-1)/RIGHT(B18,LEN(B18)-FIND("/", B18)))</f>
        <v>0</v>
      </c>
    </row>
    <row r="19" spans="1:9">
      <c r="A19" s="5" t="s">
        <v>20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digestion_page!B18</f>
        <v>0</v>
      </c>
      <c r="H19" s="11">
        <f>digestion_page!C18</f>
        <v>0</v>
      </c>
      <c r="I19" s="11">
        <f>(LEFT(B19,FIND("/",B19)-1)/RIGHT(B19,LEN(B19)-FIND("/", B19)))</f>
        <v>0</v>
      </c>
    </row>
    <row r="21" spans="1:9">
      <c r="A21" s="12" t="s">
        <v>38</v>
      </c>
      <c r="B21" s="12"/>
      <c r="C21" s="13">
        <f>AVERAGE(D18:D19)</f>
        <v>0</v>
      </c>
    </row>
    <row r="22" spans="1:9">
      <c r="A22" s="12" t="s">
        <v>38</v>
      </c>
      <c r="B22" s="12"/>
      <c r="C22" s="14">
        <f>AVERAGE(E18:E19)</f>
        <v>0</v>
      </c>
    </row>
    <row r="23" spans="1:9">
      <c r="A23" s="12" t="s">
        <v>39</v>
      </c>
      <c r="B23" s="12"/>
      <c r="C23" s="3"/>
    </row>
    <row r="24" spans="1:9">
      <c r="A24" s="12" t="s">
        <v>40</v>
      </c>
      <c r="B24" s="12"/>
      <c r="C24" s="14">
        <f>AVERAGE(E18:E19)*(C23)</f>
        <v>0</v>
      </c>
    </row>
    <row r="25" spans="1:9">
      <c r="A25" s="12" t="s">
        <v>41</v>
      </c>
      <c r="B25" s="12"/>
      <c r="C25" s="15" t="s">
        <v>43</v>
      </c>
      <c r="D25" s="15"/>
      <c r="E25" s="15"/>
      <c r="F25" s="15"/>
    </row>
    <row r="27" spans="1:9">
      <c r="B27" s="12" t="s">
        <v>44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42</v>
      </c>
      <c r="D14" s="15"/>
      <c r="E14" s="15"/>
      <c r="F14" s="15"/>
    </row>
    <row r="16" spans="1:9">
      <c r="A16" s="3" t="s">
        <v>35</v>
      </c>
      <c r="B16" s="3"/>
    </row>
    <row r="17" spans="1:9">
      <c r="A17" s="5" t="s">
        <v>26</v>
      </c>
      <c r="B17" s="5" t="s">
        <v>27</v>
      </c>
      <c r="C17" s="5" t="s">
        <v>28</v>
      </c>
      <c r="D17" s="5" t="s">
        <v>36</v>
      </c>
      <c r="E17" s="5" t="s">
        <v>37</v>
      </c>
    </row>
    <row r="18" spans="1:9">
      <c r="A18" s="5" t="s">
        <v>21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digestion_page!B19</f>
        <v>0</v>
      </c>
      <c r="H18" s="11">
        <f>digestion_page!C19</f>
        <v>0</v>
      </c>
      <c r="I18" s="11">
        <f>(LEFT(B18,FIND("/",B18)-1)/RIGHT(B18,LEN(B18)-FIND("/", B18)))</f>
        <v>0</v>
      </c>
    </row>
    <row r="19" spans="1:9">
      <c r="A19" s="5" t="s">
        <v>22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digestion_page!B20</f>
        <v>0</v>
      </c>
      <c r="H19" s="11">
        <f>digestion_page!C20</f>
        <v>0</v>
      </c>
      <c r="I19" s="11">
        <f>(LEFT(B19,FIND("/",B19)-1)/RIGHT(B19,LEN(B19)-FIND("/", B19)))</f>
        <v>0</v>
      </c>
    </row>
    <row r="21" spans="1:9">
      <c r="A21" s="12" t="s">
        <v>38</v>
      </c>
      <c r="B21" s="12"/>
      <c r="C21" s="13">
        <f>AVERAGE(D18:D19)</f>
        <v>0</v>
      </c>
    </row>
    <row r="22" spans="1:9">
      <c r="A22" s="12" t="s">
        <v>38</v>
      </c>
      <c r="B22" s="12"/>
      <c r="C22" s="14">
        <f>AVERAGE(E18:E19)</f>
        <v>0</v>
      </c>
    </row>
    <row r="23" spans="1:9">
      <c r="A23" s="12" t="s">
        <v>39</v>
      </c>
      <c r="B23" s="12"/>
      <c r="C23" s="3"/>
    </row>
    <row r="24" spans="1:9">
      <c r="A24" s="12" t="s">
        <v>40</v>
      </c>
      <c r="B24" s="12"/>
      <c r="C24" s="14">
        <f>AVERAGE(E18:E19)*(C23)</f>
        <v>0</v>
      </c>
    </row>
    <row r="25" spans="1:9">
      <c r="A25" s="12" t="s">
        <v>41</v>
      </c>
      <c r="B25" s="12"/>
      <c r="C25" s="15" t="s">
        <v>43</v>
      </c>
      <c r="D25" s="15"/>
      <c r="E25" s="15"/>
      <c r="F25" s="15"/>
    </row>
    <row r="27" spans="1:9">
      <c r="B27" s="12" t="s">
        <v>44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46197</v>
      </c>
    </row>
    <row r="2" spans="1:9">
      <c r="A2" s="1" t="s">
        <v>1</v>
      </c>
      <c r="B2" s="3" t="s">
        <v>2</v>
      </c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23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digestion_page!B21</f>
        <v>0</v>
      </c>
      <c r="H7" s="11">
        <f>digestion_page!C21</f>
        <v>0</v>
      </c>
      <c r="I7" s="11">
        <f>(LEFT(B7,FIND("/",B7)-1)/RIGHT(B7,LEN(B7)-FIND("/", B7)))</f>
        <v>0</v>
      </c>
    </row>
    <row r="8" spans="1:9">
      <c r="A8" s="5" t="s">
        <v>24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digestion_page!B22</f>
        <v>0</v>
      </c>
      <c r="H8" s="11">
        <f>digestion_page!C22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42</v>
      </c>
      <c r="D14" s="15"/>
      <c r="E14" s="15"/>
      <c r="F14" s="15"/>
    </row>
    <row r="16" spans="1:9">
      <c r="A16" s="3" t="s">
        <v>35</v>
      </c>
      <c r="B16" s="3"/>
    </row>
    <row r="17" spans="1:9">
      <c r="A17" s="5" t="s">
        <v>26</v>
      </c>
      <c r="B17" s="5" t="s">
        <v>27</v>
      </c>
      <c r="C17" s="5" t="s">
        <v>28</v>
      </c>
      <c r="D17" s="5" t="s">
        <v>36</v>
      </c>
      <c r="E17" s="5" t="s">
        <v>37</v>
      </c>
    </row>
    <row r="18" spans="1:9">
      <c r="A18" s="5" t="s">
        <v>23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digestion_page!B21</f>
        <v>0</v>
      </c>
      <c r="H18" s="11">
        <f>digestion_page!C21</f>
        <v>0</v>
      </c>
      <c r="I18" s="11">
        <f>(LEFT(B18,FIND("/",B18)-1)/RIGHT(B18,LEN(B18)-FIND("/", B18)))</f>
        <v>0</v>
      </c>
    </row>
    <row r="19" spans="1:9">
      <c r="A19" s="5" t="s">
        <v>24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digestion_page!B22</f>
        <v>0</v>
      </c>
      <c r="H19" s="11">
        <f>digestion_page!C22</f>
        <v>0</v>
      </c>
      <c r="I19" s="11">
        <f>(LEFT(B19,FIND("/",B19)-1)/RIGHT(B19,LEN(B19)-FIND("/", B19)))</f>
        <v>0</v>
      </c>
    </row>
    <row r="21" spans="1:9">
      <c r="A21" s="12" t="s">
        <v>38</v>
      </c>
      <c r="B21" s="12"/>
      <c r="C21" s="13">
        <f>AVERAGE(D18:D19)</f>
        <v>0</v>
      </c>
    </row>
    <row r="22" spans="1:9">
      <c r="A22" s="12" t="s">
        <v>38</v>
      </c>
      <c r="B22" s="12"/>
      <c r="C22" s="14">
        <f>AVERAGE(E18:E19)</f>
        <v>0</v>
      </c>
    </row>
    <row r="23" spans="1:9">
      <c r="A23" s="12" t="s">
        <v>39</v>
      </c>
      <c r="B23" s="12"/>
      <c r="C23" s="3"/>
    </row>
    <row r="24" spans="1:9">
      <c r="A24" s="12" t="s">
        <v>40</v>
      </c>
      <c r="B24" s="12"/>
      <c r="C24" s="14">
        <f>AVERAGE(E18:E19)*(C23)</f>
        <v>0</v>
      </c>
    </row>
    <row r="25" spans="1:9">
      <c r="A25" s="12" t="s">
        <v>41</v>
      </c>
      <c r="B25" s="12"/>
      <c r="C25" s="15" t="s">
        <v>43</v>
      </c>
      <c r="D25" s="15"/>
      <c r="E25" s="15"/>
      <c r="F25" s="15"/>
    </row>
    <row r="27" spans="1:9">
      <c r="B27" s="12" t="s">
        <v>44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45</v>
      </c>
    </row>
    <row r="3" spans="1:1">
      <c r="A3" s="17" t="s">
        <v>46</v>
      </c>
    </row>
    <row r="5" spans="1:1">
      <c r="A5" s="17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200120001</vt:lpstr>
      <vt:lpstr>200120002</vt:lpstr>
      <vt:lpstr>200120003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2026-06-25T02:00:30Z</dcterms:created>
  <dcterms:modified xsi:type="dcterms:W3CDTF">2026-06-25T02:00:30Z</dcterms:modified>
</cp:coreProperties>
</file>