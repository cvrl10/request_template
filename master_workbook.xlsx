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0001" sheetId="2" r:id="rId2"/>
    <sheet name="200120002" sheetId="3" r:id="rId3"/>
    <sheet name="formula_page" sheetId="4" r:id="rId4"/>
  </sheets>
  <calcPr calcId="124519" fullCalcOnLoad="1"/>
</workbook>
</file>

<file path=xl/sharedStrings.xml><?xml version="1.0" encoding="utf-8"?>
<sst xmlns="http://schemas.openxmlformats.org/spreadsheetml/2006/main" count="194" uniqueCount="68">
  <si>
    <t>Date:</t>
  </si>
  <si>
    <t>Request ID:</t>
  </si>
  <si>
    <t>TEST</t>
  </si>
  <si>
    <t>Microwave</t>
  </si>
  <si>
    <t>Analyte(s)</t>
  </si>
  <si>
    <t>Ca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</si>
  <si>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</si>
  <si>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</si>
  <si>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</si>
  <si>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</si>
  <si>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</si>
  <si>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</si>
  <si>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</si>
  <si>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</si>
  <si>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</si>
  <si>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</si>
  <si>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</si>
  <si>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</si>
  <si>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</si>
  <si>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200120001_1</t>
  </si>
  <si>
    <t>200120001_2</t>
  </si>
  <si>
    <t>200120002_1</t>
  </si>
  <si>
    <t>200120002_2</t>
  </si>
  <si>
    <t>200120001_3</t>
  </si>
  <si>
    <t>200120001_4</t>
  </si>
  <si>
    <t>200120002_3</t>
  </si>
  <si>
    <t>200120002_4</t>
  </si>
  <si>
    <t>Hotplate</t>
  </si>
  <si>
    <t>Ag, Ca</t>
  </si>
  <si>
    <t>Cocktail</t>
  </si>
  <si>
    <t>200120001_5</t>
  </si>
  <si>
    <t>200120001_6</t>
  </si>
  <si>
    <t>200120002_5</t>
  </si>
  <si>
    <t>200120002_6</t>
  </si>
  <si>
    <t>cr6_epa</t>
  </si>
  <si>
    <t>Ag$2 ICP analysis</t>
  </si>
  <si>
    <t>sample</t>
  </si>
  <si>
    <t>dilution</t>
  </si>
  <si>
    <t>conc. [mg/L]</t>
  </si>
  <si>
    <t>Ag$2_ppm</t>
  </si>
  <si>
    <t>%Ag$2</t>
  </si>
  <si>
    <t>ag$2 result:</t>
  </si>
  <si>
    <t>ag$2 lot:</t>
  </si>
  <si>
    <t>Ca$0 ICP analysis</t>
  </si>
  <si>
    <t>Ca$0_ppm</t>
  </si>
  <si>
    <t>%Ca$0</t>
  </si>
  <si>
    <t>ca$0 result:</t>
  </si>
  <si>
    <t>ca$0 lot:</t>
  </si>
  <si>
    <t>Ca$1 ICP analysis</t>
  </si>
  <si>
    <t>Ca$1_ppm</t>
  </si>
  <si>
    <t>%Ca$1</t>
  </si>
  <si>
    <t>ca$1 result:</t>
  </si>
  <si>
    <t>ca$1 lot:</t>
  </si>
  <si>
    <t>Ca$2 ICP analysis</t>
  </si>
  <si>
    <t>Ca$2_ppm</t>
  </si>
  <si>
    <t>%Ca$2</t>
  </si>
  <si>
    <t>ca$2 result:</t>
  </si>
  <si>
    <t>ca$2 lot:</t>
  </si>
  <si>
    <t>cr6_epa$0 UV-Vis analysis</t>
  </si>
  <si>
    <t>cr6_epa$0_ppm</t>
  </si>
  <si>
    <t>%cr6_epa$0</t>
  </si>
  <si>
    <t>cr6_epa$0 result:</t>
  </si>
  <si>
    <t>cr6_epa$0 lot:</t>
  </si>
  <si>
    <t>Manufacturer: Assurance, 28-35CAY exp: 2026-10-30</t>
  </si>
  <si>
    <t>Note(s):</t>
  </si>
  <si>
    <t>ppm M+ = [conc.][volume][dilution]/[weight]</t>
  </si>
  <si>
    <t>%M+ = [conc.][volume][dilution]/([weight]*10,000)</t>
  </si>
  <si>
    <t>%MO = [oxide factor]*%M+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</si>
</sst>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"/>
    <numFmt numFmtId="168" formatCode="0.00&quot; ppm&quot;"/>
    <numFmt numFmtId="169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cols>
    <col min="1" max="1" width="12.28515625" bestFit="1" customWidth="1"/>
    <col min="2" max="2" width="10.7109375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>
      <c r="A1" s="1" t="s">
        <v>0</v>
      </c>
      <c r="B1" s="2">
        <v>46283</v>
      </c>
    </row>
    <row r="2" spans="1:5">
      <c r="A2" s="1" t="s">
        <v>1</v>
      </c>
      <c r="B2" s="3" t="s">
        <v>2</v>
      </c>
    </row>
    <row r="5" spans="1:5">
      <c r="A5" s="4" t="s">
        <v>3</v>
      </c>
      <c r="B5" s="4"/>
      <c r="C5" s="4"/>
      <c r="D5" s="4"/>
      <c r="E5" s="4"/>
    </row>
    <row r="6" spans="1:5">
      <c r="A6" s="5" t="s">
        <v>4</v>
      </c>
      <c r="B6" s="6" t="s">
        <v>5</v>
      </c>
      <c r="C6" s="6"/>
      <c r="D6" s="6"/>
      <c r="E6" s="6"/>
    </row>
    <row r="7" spans="1:5">
      <c r="A7" s="5" t="s">
        <v>6</v>
      </c>
      <c r="B7" s="6"/>
      <c r="C7" s="6"/>
      <c r="D7" s="6"/>
      <c r="E7" s="6"/>
    </row>
    <row r="8" spans="1:5">
      <c r="A8" s="5" t="s">
        <v>7</v>
      </c>
      <c r="B8" s="6"/>
      <c r="C8" s="6"/>
      <c r="D8" s="6"/>
      <c r="E8" s="6"/>
    </row>
    <row r="9" spans="1:5">
      <c r="A9" s="5" t="s">
        <v>8</v>
      </c>
      <c r="B9" s="7"/>
      <c r="C9" s="7"/>
      <c r="D9" s="7"/>
      <c r="E9" s="7"/>
    </row>
    <row r="10" spans="1:5">
      <c r="A10" s="5" t="s">
        <v>9</v>
      </c>
      <c r="B10" s="6"/>
      <c r="C10" s="6"/>
      <c r="D10" s="6"/>
      <c r="E10" s="6"/>
    </row>
    <row r="11" spans="1:5">
      <c r="A11" s="5" t="s">
        <v>10</v>
      </c>
      <c r="B11" s="7"/>
      <c r="C11" s="7"/>
      <c r="D11" s="7"/>
      <c r="E11" s="7"/>
    </row>
    <row r="12" spans="1:5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</row>
    <row r="13" spans="1:5">
      <c r="A13" s="6">
        <v>15</v>
      </c>
      <c r="B13" s="6">
        <v>1200</v>
      </c>
      <c r="C13" s="6">
        <v>180</v>
      </c>
      <c r="D13" s="6">
        <v>65</v>
      </c>
      <c r="E13" s="6">
        <v>110</v>
      </c>
    </row>
    <row r="14" spans="1:5">
      <c r="A14" s="6">
        <v>15</v>
      </c>
      <c r="B14" s="6">
        <v>1500</v>
      </c>
      <c r="C14" s="6">
        <v>240</v>
      </c>
      <c r="D14" s="6">
        <v>65</v>
      </c>
      <c r="E14" s="6">
        <v>110</v>
      </c>
    </row>
    <row r="15" spans="1:5">
      <c r="A15" s="6"/>
      <c r="B15" s="6"/>
      <c r="C15" s="6"/>
      <c r="D15" s="6"/>
      <c r="E15" s="6"/>
    </row>
    <row r="16" spans="1:5">
      <c r="A16" s="5" t="s">
        <v>16</v>
      </c>
      <c r="B16" s="5" t="s">
        <v>17</v>
      </c>
      <c r="C16" s="5" t="s">
        <v>18</v>
      </c>
    </row>
    <row r="17" spans="1:5">
      <c r="A17" s="5" t="s">
        <v>19</v>
      </c>
      <c r="B17" s="8"/>
      <c r="C17" s="6"/>
    </row>
    <row r="18" spans="1:5">
      <c r="A18" s="5" t="s">
        <v>20</v>
      </c>
      <c r="B18" s="8"/>
      <c r="C18" s="6"/>
    </row>
    <row r="19" spans="1:5">
      <c r="A19" s="5" t="s">
        <v>21</v>
      </c>
      <c r="B19" s="8"/>
      <c r="C19" s="6"/>
    </row>
    <row r="20" spans="1:5">
      <c r="A20" s="5" t="s">
        <v>22</v>
      </c>
      <c r="B20" s="8"/>
      <c r="C20" s="6"/>
    </row>
    <row r="23" spans="1:5">
      <c r="A23" s="4" t="s">
        <v>3</v>
      </c>
      <c r="B23" s="4"/>
      <c r="C23" s="4"/>
      <c r="D23" s="4"/>
      <c r="E23" s="4"/>
    </row>
    <row r="24" spans="1:5">
      <c r="A24" s="5" t="s">
        <v>4</v>
      </c>
      <c r="B24" s="6" t="s">
        <v>5</v>
      </c>
      <c r="C24" s="6"/>
      <c r="D24" s="6"/>
      <c r="E24" s="6"/>
    </row>
    <row r="25" spans="1:5">
      <c r="A25" s="5" t="s">
        <v>6</v>
      </c>
      <c r="B25" s="6"/>
      <c r="C25" s="6"/>
      <c r="D25" s="6"/>
      <c r="E25" s="6"/>
    </row>
    <row r="26" spans="1:5">
      <c r="A26" s="5" t="s">
        <v>7</v>
      </c>
      <c r="B26" s="6"/>
      <c r="C26" s="6"/>
      <c r="D26" s="6"/>
      <c r="E26" s="6"/>
    </row>
    <row r="27" spans="1:5">
      <c r="A27" s="5" t="s">
        <v>8</v>
      </c>
      <c r="B27" s="7"/>
      <c r="C27" s="7"/>
      <c r="D27" s="7"/>
      <c r="E27" s="7"/>
    </row>
    <row r="28" spans="1:5">
      <c r="A28" s="5" t="s">
        <v>9</v>
      </c>
      <c r="B28" s="6"/>
      <c r="C28" s="6"/>
      <c r="D28" s="6"/>
      <c r="E28" s="6"/>
    </row>
    <row r="29" spans="1:5">
      <c r="A29" s="5" t="s">
        <v>10</v>
      </c>
      <c r="B29" s="7"/>
      <c r="C29" s="7"/>
      <c r="D29" s="7"/>
      <c r="E29" s="7"/>
    </row>
    <row r="30" spans="1:5">
      <c r="A30" s="5" t="s">
        <v>11</v>
      </c>
      <c r="B30" s="5" t="s">
        <v>12</v>
      </c>
      <c r="C30" s="5" t="s">
        <v>13</v>
      </c>
      <c r="D30" s="5" t="s">
        <v>14</v>
      </c>
      <c r="E30" s="5" t="s">
        <v>15</v>
      </c>
    </row>
    <row r="31" spans="1:5">
      <c r="A31" s="6">
        <v>15</v>
      </c>
      <c r="B31" s="6">
        <v>1200</v>
      </c>
      <c r="C31" s="6">
        <v>180</v>
      </c>
      <c r="D31" s="6">
        <v>65</v>
      </c>
      <c r="E31" s="6">
        <v>110</v>
      </c>
    </row>
    <row r="32" spans="1:5">
      <c r="A32" s="6">
        <v>15</v>
      </c>
      <c r="B32" s="6">
        <v>1500</v>
      </c>
      <c r="C32" s="6">
        <v>240</v>
      </c>
      <c r="D32" s="6">
        <v>65</v>
      </c>
      <c r="E32" s="6">
        <v>110</v>
      </c>
    </row>
    <row r="33" spans="1:5">
      <c r="A33" s="6"/>
      <c r="B33" s="6"/>
      <c r="C33" s="6"/>
      <c r="D33" s="6"/>
      <c r="E33" s="6"/>
    </row>
    <row r="34" spans="1:5">
      <c r="A34" s="5" t="s">
        <v>16</v>
      </c>
      <c r="B34" s="5" t="s">
        <v>17</v>
      </c>
      <c r="C34" s="5" t="s">
        <v>18</v>
      </c>
    </row>
    <row r="35" spans="1:5">
      <c r="A35" s="5" t="s">
        <v>23</v>
      </c>
      <c r="B35" s="8"/>
      <c r="C35" s="6"/>
    </row>
    <row r="36" spans="1:5">
      <c r="A36" s="5" t="s">
        <v>24</v>
      </c>
      <c r="B36" s="8"/>
      <c r="C36" s="6"/>
    </row>
    <row r="37" spans="1:5">
      <c r="A37" s="5" t="s">
        <v>25</v>
      </c>
      <c r="B37" s="8"/>
      <c r="C37" s="6"/>
    </row>
    <row r="38" spans="1:5">
      <c r="A38" s="5" t="s">
        <v>26</v>
      </c>
      <c r="B38" s="8"/>
      <c r="C38" s="6"/>
    </row>
    <row r="41" spans="1:5">
      <c r="A41" s="4" t="s">
        <v>27</v>
      </c>
      <c r="B41" s="4"/>
      <c r="C41" s="4"/>
    </row>
    <row r="42" spans="1:5">
      <c r="A42" s="5" t="s">
        <v>4</v>
      </c>
      <c r="B42" s="6" t="s">
        <v>28</v>
      </c>
      <c r="C42" s="6"/>
    </row>
    <row r="43" spans="1:5">
      <c r="A43" s="5" t="s">
        <v>6</v>
      </c>
      <c r="B43" s="6"/>
      <c r="C43" s="6"/>
    </row>
    <row r="44" spans="1:5">
      <c r="A44" s="5" t="s">
        <v>29</v>
      </c>
      <c r="B44" s="6"/>
      <c r="C44" s="6"/>
    </row>
    <row r="45" spans="1:5">
      <c r="A45" s="5" t="s">
        <v>16</v>
      </c>
      <c r="B45" s="5" t="s">
        <v>17</v>
      </c>
      <c r="C45" s="5" t="s">
        <v>18</v>
      </c>
    </row>
    <row r="46" spans="1:5">
      <c r="A46" s="5" t="s">
        <v>30</v>
      </c>
      <c r="B46" s="8"/>
      <c r="C46" s="6"/>
    </row>
    <row r="47" spans="1:5">
      <c r="A47" s="5" t="s">
        <v>31</v>
      </c>
      <c r="B47" s="8"/>
      <c r="C47" s="6"/>
    </row>
    <row r="48" spans="1:5">
      <c r="A48" s="5" t="s">
        <v>32</v>
      </c>
      <c r="B48" s="8"/>
      <c r="C48" s="6"/>
    </row>
    <row r="49" spans="1:3">
      <c r="A49" s="5" t="s">
        <v>33</v>
      </c>
      <c r="B49" s="8"/>
      <c r="C49" s="6"/>
    </row>
    <row r="52" spans="1:3">
      <c r="A52" s="4" t="s">
        <v>27</v>
      </c>
      <c r="B52" s="4"/>
      <c r="C52" s="4"/>
    </row>
    <row r="53" spans="1:3">
      <c r="A53" s="5" t="s">
        <v>4</v>
      </c>
      <c r="B53" s="6" t="s">
        <v>34</v>
      </c>
      <c r="C53" s="6"/>
    </row>
    <row r="54" spans="1:3">
      <c r="A54" s="5" t="s">
        <v>6</v>
      </c>
      <c r="B54" s="6"/>
      <c r="C54" s="6"/>
    </row>
    <row r="55" spans="1:3">
      <c r="A55" s="5" t="s">
        <v>29</v>
      </c>
      <c r="B55" s="6"/>
      <c r="C55" s="6"/>
    </row>
    <row r="56" spans="1:3">
      <c r="A56" s="5" t="s">
        <v>16</v>
      </c>
      <c r="B56" s="5" t="s">
        <v>17</v>
      </c>
      <c r="C56" s="5" t="s">
        <v>18</v>
      </c>
    </row>
    <row r="57" spans="1:3">
      <c r="A57" s="5" t="s">
        <v>19</v>
      </c>
      <c r="B57" s="8"/>
      <c r="C57" s="6"/>
    </row>
    <row r="58" spans="1:3">
      <c r="A58" s="5" t="s">
        <v>20</v>
      </c>
      <c r="B58" s="8"/>
      <c r="C58" s="6"/>
    </row>
    <row r="59" spans="1:3">
      <c r="A59" s="5" t="s">
        <v>21</v>
      </c>
      <c r="B59" s="8"/>
      <c r="C59" s="6"/>
    </row>
    <row r="60" spans="1:3">
      <c r="A60" s="5" t="s">
        <v>22</v>
      </c>
      <c r="B60" s="8"/>
      <c r="C60" s="6"/>
    </row>
  </sheetData>
  <mergeCells count="22">
    <mergeCell ref="A5:E5"/>
    <mergeCell ref="B6:E6"/>
    <mergeCell ref="B7:E7"/>
    <mergeCell ref="B8:E8"/>
    <mergeCell ref="B9:E9"/>
    <mergeCell ref="B10:E10"/>
    <mergeCell ref="B11:E11"/>
    <mergeCell ref="A23:E23"/>
    <mergeCell ref="B24:E24"/>
    <mergeCell ref="B25:E25"/>
    <mergeCell ref="B26:E26"/>
    <mergeCell ref="B27:E27"/>
    <mergeCell ref="B28:E28"/>
    <mergeCell ref="B29:E29"/>
    <mergeCell ref="A41:C41"/>
    <mergeCell ref="B42:C42"/>
    <mergeCell ref="B43:C43"/>
    <mergeCell ref="B44:C44"/>
    <mergeCell ref="A52:C52"/>
    <mergeCell ref="B53:C53"/>
    <mergeCell ref="B54:C54"/>
    <mergeCell ref="B55:C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cols>
    <col min="1" max="1" width="23.7109375" bestFit="1" customWidth="1"/>
    <col min="2" max="2" width="10.7109375" bestFit="1" customWidth="1"/>
    <col min="3" max="3" width="12.7109375" customWidth="1"/>
    <col min="4" max="4" width="14.85546875" bestFit="1" customWidth="1"/>
    <col min="5" max="5" width="11.42578125" bestFit="1" customWidth="1"/>
    <col min="6" max="42" width="7.7109375" customWidth="1"/>
  </cols>
  <sheetData>
    <row r="1" spans="1:9">
      <c r="A1" s="1" t="s">
        <v>0</v>
      </c>
      <c r="B1" s="2">
        <v>46283</v>
      </c>
    </row>
    <row r="2" spans="1:9">
      <c r="A2" s="1" t="s">
        <v>1</v>
      </c>
      <c r="B2" s="3" t="s">
        <v>2</v>
      </c>
    </row>
    <row r="5" spans="1:9">
      <c r="A5" s="3" t="s">
        <v>35</v>
      </c>
      <c r="B5" s="3"/>
    </row>
    <row r="6" spans="1:9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</row>
    <row r="7" spans="1:9">
      <c r="A7" s="5" t="s">
        <v>30</v>
      </c>
      <c r="B7" s="6">
        <f>"1/1"</f>
        <v>0</v>
      </c>
      <c r="C7" s="9"/>
      <c r="D7" s="10">
        <f>((C7)*(H7)*(I7))/(G7*1)</f>
        <v>0</v>
      </c>
      <c r="E7" s="10">
        <f>D7/10000</f>
        <v>0</v>
      </c>
      <c r="G7" s="11">
        <f>digestion_page!B46</f>
        <v>0</v>
      </c>
      <c r="H7" s="11">
        <f>digestion_page!C46</f>
        <v>0</v>
      </c>
      <c r="I7" s="11">
        <f>(LEFT(B7,FIND("/",B7)-1)/RIGHT(B7,LEN(B7)-FIND("/", B7)))</f>
        <v>0</v>
      </c>
    </row>
    <row r="8" spans="1:9">
      <c r="A8" s="5" t="s">
        <v>31</v>
      </c>
      <c r="B8" s="6">
        <f>"1/1"</f>
        <v>0</v>
      </c>
      <c r="C8" s="9"/>
      <c r="D8" s="10">
        <f>((C8)*(H8)*(I8))/(G8*1)</f>
        <v>0</v>
      </c>
      <c r="E8" s="10">
        <f>D8/10000</f>
        <v>0</v>
      </c>
      <c r="G8" s="11">
        <f>digestion_page!B47</f>
        <v>0</v>
      </c>
      <c r="H8" s="11">
        <f>digestion_page!C47</f>
        <v>0</v>
      </c>
      <c r="I8" s="11">
        <f>(LEFT(B8,FIND("/",B8)-1)/RIGHT(B8,LEN(B8)-FIND("/", B8)))</f>
        <v>0</v>
      </c>
    </row>
    <row r="10" spans="1:9">
      <c r="A10" s="12" t="s">
        <v>41</v>
      </c>
      <c r="B10" s="12"/>
      <c r="C10" s="13">
        <f>AVERAGE(D7:D8)</f>
        <v>0</v>
      </c>
    </row>
    <row r="11" spans="1:9">
      <c r="A11" s="12" t="s">
        <v>41</v>
      </c>
      <c r="B11" s="12"/>
      <c r="C11" s="14">
        <f>AVERAGE(E7:E8)</f>
        <v>0</v>
      </c>
    </row>
    <row r="12" spans="1:9">
      <c r="A12" s="12" t="s">
        <v>42</v>
      </c>
      <c r="B12" s="12"/>
      <c r="C12" s="15"/>
      <c r="D12" s="15"/>
      <c r="E12" s="15"/>
      <c r="F12" s="15"/>
    </row>
    <row r="14" spans="1:9">
      <c r="A14" s="3" t="s">
        <v>43</v>
      </c>
      <c r="B14" s="3"/>
    </row>
    <row r="15" spans="1:9">
      <c r="A15" s="5" t="s">
        <v>36</v>
      </c>
      <c r="B15" s="5" t="s">
        <v>37</v>
      </c>
      <c r="C15" s="5" t="s">
        <v>38</v>
      </c>
      <c r="D15" s="5" t="s">
        <v>44</v>
      </c>
      <c r="E15" s="5" t="s">
        <v>45</v>
      </c>
    </row>
    <row r="16" spans="1:9">
      <c r="A16" s="5" t="s">
        <v>19</v>
      </c>
      <c r="B16" s="6">
        <f>"1/1"</f>
        <v>0</v>
      </c>
      <c r="C16" s="9"/>
      <c r="D16" s="10">
        <f>((C16)*(H16)*(I16))/(G16*1)</f>
        <v>0</v>
      </c>
      <c r="E16" s="10">
        <f>D16/10000</f>
        <v>0</v>
      </c>
      <c r="G16" s="11">
        <f>digestion_page!B17</f>
        <v>0</v>
      </c>
      <c r="H16" s="11">
        <f>digestion_page!C17</f>
        <v>0</v>
      </c>
      <c r="I16" s="11">
        <f>(LEFT(B16,FIND("/",B16)-1)/RIGHT(B16,LEN(B16)-FIND("/", B16)))</f>
        <v>0</v>
      </c>
    </row>
    <row r="17" spans="1:9">
      <c r="A17" s="5" t="s">
        <v>20</v>
      </c>
      <c r="B17" s="6">
        <f>"1/1"</f>
        <v>0</v>
      </c>
      <c r="C17" s="9"/>
      <c r="D17" s="10">
        <f>((C17)*(H17)*(I17))/(G17*1)</f>
        <v>0</v>
      </c>
      <c r="E17" s="10">
        <f>D17/10000</f>
        <v>0</v>
      </c>
      <c r="G17" s="11">
        <f>digestion_page!B18</f>
        <v>0</v>
      </c>
      <c r="H17" s="11">
        <f>digestion_page!C18</f>
        <v>0</v>
      </c>
      <c r="I17" s="11">
        <f>(LEFT(B17,FIND("/",B17)-1)/RIGHT(B17,LEN(B17)-FIND("/", B17)))</f>
        <v>0</v>
      </c>
    </row>
    <row r="19" spans="1:9">
      <c r="A19" s="12" t="s">
        <v>46</v>
      </c>
      <c r="B19" s="12"/>
      <c r="C19" s="13">
        <f>AVERAGE(D16:D17)</f>
        <v>0</v>
      </c>
    </row>
    <row r="20" spans="1:9">
      <c r="A20" s="12" t="s">
        <v>46</v>
      </c>
      <c r="B20" s="12"/>
      <c r="C20" s="14">
        <f>AVERAGE(E16:E17)</f>
        <v>0</v>
      </c>
    </row>
    <row r="21" spans="1:9">
      <c r="A21" s="12" t="s">
        <v>47</v>
      </c>
      <c r="B21" s="12"/>
      <c r="C21" s="15" t="s">
        <v>63</v>
      </c>
      <c r="D21" s="15"/>
      <c r="E21" s="15"/>
      <c r="F21" s="15"/>
    </row>
    <row r="23" spans="1:9">
      <c r="A23" s="3" t="s">
        <v>48</v>
      </c>
      <c r="B23" s="3"/>
    </row>
    <row r="24" spans="1:9">
      <c r="A24" s="5" t="s">
        <v>36</v>
      </c>
      <c r="B24" s="5" t="s">
        <v>37</v>
      </c>
      <c r="C24" s="5" t="s">
        <v>38</v>
      </c>
      <c r="D24" s="5" t="s">
        <v>49</v>
      </c>
      <c r="E24" s="5" t="s">
        <v>50</v>
      </c>
    </row>
    <row r="25" spans="1:9">
      <c r="A25" s="5" t="s">
        <v>23</v>
      </c>
      <c r="B25" s="6">
        <f>"1/1"</f>
        <v>0</v>
      </c>
      <c r="C25" s="9"/>
      <c r="D25" s="10">
        <f>((C25)*(H25)*(I25))/(G25*1)</f>
        <v>0</v>
      </c>
      <c r="E25" s="10">
        <f>D25/10000</f>
        <v>0</v>
      </c>
      <c r="G25" s="11">
        <f>digestion_page!B35</f>
        <v>0</v>
      </c>
      <c r="H25" s="11">
        <f>digestion_page!C35</f>
        <v>0</v>
      </c>
      <c r="I25" s="11">
        <f>(LEFT(B25,FIND("/",B25)-1)/RIGHT(B25,LEN(B25)-FIND("/", B25)))</f>
        <v>0</v>
      </c>
    </row>
    <row r="26" spans="1:9">
      <c r="A26" s="5" t="s">
        <v>24</v>
      </c>
      <c r="B26" s="6">
        <f>"1/1"</f>
        <v>0</v>
      </c>
      <c r="C26" s="9"/>
      <c r="D26" s="10">
        <f>((C26)*(H26)*(I26))/(G26*1)</f>
        <v>0</v>
      </c>
      <c r="E26" s="10">
        <f>D26/10000</f>
        <v>0</v>
      </c>
      <c r="G26" s="11">
        <f>digestion_page!B36</f>
        <v>0</v>
      </c>
      <c r="H26" s="11">
        <f>digestion_page!C36</f>
        <v>0</v>
      </c>
      <c r="I26" s="11">
        <f>(LEFT(B26,FIND("/",B26)-1)/RIGHT(B26,LEN(B26)-FIND("/", B26)))</f>
        <v>0</v>
      </c>
    </row>
    <row r="28" spans="1:9">
      <c r="A28" s="12" t="s">
        <v>51</v>
      </c>
      <c r="B28" s="12"/>
      <c r="C28" s="13">
        <f>AVERAGE(D25:D26)</f>
        <v>0</v>
      </c>
    </row>
    <row r="29" spans="1:9">
      <c r="A29" s="12" t="s">
        <v>51</v>
      </c>
      <c r="B29" s="12"/>
      <c r="C29" s="14">
        <f>AVERAGE(E25:E26)</f>
        <v>0</v>
      </c>
    </row>
    <row r="30" spans="1:9">
      <c r="A30" s="12" t="s">
        <v>52</v>
      </c>
      <c r="B30" s="12"/>
      <c r="C30" s="15" t="s">
        <v>63</v>
      </c>
      <c r="D30" s="15"/>
      <c r="E30" s="15"/>
      <c r="F30" s="15"/>
    </row>
    <row r="32" spans="1:9">
      <c r="A32" s="3" t="s">
        <v>53</v>
      </c>
      <c r="B32" s="3"/>
    </row>
    <row r="33" spans="1:9">
      <c r="A33" s="5" t="s">
        <v>36</v>
      </c>
      <c r="B33" s="5" t="s">
        <v>37</v>
      </c>
      <c r="C33" s="5" t="s">
        <v>38</v>
      </c>
      <c r="D33" s="5" t="s">
        <v>54</v>
      </c>
      <c r="E33" s="5" t="s">
        <v>55</v>
      </c>
    </row>
    <row r="34" spans="1:9">
      <c r="A34" s="5" t="s">
        <v>30</v>
      </c>
      <c r="B34" s="6">
        <f>"1/1"</f>
        <v>0</v>
      </c>
      <c r="C34" s="9"/>
      <c r="D34" s="10">
        <f>((C34)*(H34)*(I34))/(G34*1)</f>
        <v>0</v>
      </c>
      <c r="E34" s="10">
        <f>D34/10000</f>
        <v>0</v>
      </c>
      <c r="G34" s="11">
        <f>digestion_page!B46</f>
        <v>0</v>
      </c>
      <c r="H34" s="11">
        <f>digestion_page!C46</f>
        <v>0</v>
      </c>
      <c r="I34" s="11">
        <f>(LEFT(B34,FIND("/",B34)-1)/RIGHT(B34,LEN(B34)-FIND("/", B34)))</f>
        <v>0</v>
      </c>
    </row>
    <row r="35" spans="1:9">
      <c r="A35" s="5" t="s">
        <v>31</v>
      </c>
      <c r="B35" s="6">
        <f>"1/1"</f>
        <v>0</v>
      </c>
      <c r="C35" s="9"/>
      <c r="D35" s="10">
        <f>((C35)*(H35)*(I35))/(G35*1)</f>
        <v>0</v>
      </c>
      <c r="E35" s="10">
        <f>D35/10000</f>
        <v>0</v>
      </c>
      <c r="G35" s="11">
        <f>digestion_page!B47</f>
        <v>0</v>
      </c>
      <c r="H35" s="11">
        <f>digestion_page!C47</f>
        <v>0</v>
      </c>
      <c r="I35" s="11">
        <f>(LEFT(B35,FIND("/",B35)-1)/RIGHT(B35,LEN(B35)-FIND("/", B35)))</f>
        <v>0</v>
      </c>
    </row>
    <row r="37" spans="1:9">
      <c r="A37" s="12" t="s">
        <v>56</v>
      </c>
      <c r="B37" s="12"/>
      <c r="C37" s="13">
        <f>AVERAGE(D34:D35)</f>
        <v>0</v>
      </c>
    </row>
    <row r="38" spans="1:9">
      <c r="A38" s="12" t="s">
        <v>56</v>
      </c>
      <c r="B38" s="12"/>
      <c r="C38" s="14">
        <f>AVERAGE(E34:E35)</f>
        <v>0</v>
      </c>
    </row>
    <row r="39" spans="1:9">
      <c r="A39" s="12" t="s">
        <v>57</v>
      </c>
      <c r="B39" s="12"/>
      <c r="C39" s="15" t="s">
        <v>63</v>
      </c>
      <c r="D39" s="15"/>
      <c r="E39" s="15"/>
      <c r="F39" s="15"/>
    </row>
    <row r="41" spans="1:9">
      <c r="A41" s="3" t="s">
        <v>58</v>
      </c>
      <c r="B41" s="3"/>
    </row>
    <row r="42" spans="1:9">
      <c r="A42" s="5" t="s">
        <v>36</v>
      </c>
      <c r="B42" s="5" t="s">
        <v>37</v>
      </c>
      <c r="C42" s="5" t="s">
        <v>38</v>
      </c>
      <c r="D42" s="5" t="s">
        <v>59</v>
      </c>
      <c r="E42" s="5" t="s">
        <v>60</v>
      </c>
    </row>
    <row r="43" spans="1:9">
      <c r="A43" s="5" t="s">
        <v>19</v>
      </c>
      <c r="B43" s="6">
        <f>"1/1"</f>
        <v>0</v>
      </c>
      <c r="C43" s="9"/>
      <c r="D43" s="10">
        <f>((C43)*(H43)*(I43))/(G43*1)</f>
        <v>0</v>
      </c>
      <c r="E43" s="10">
        <f>D43/10000</f>
        <v>0</v>
      </c>
      <c r="G43" s="11">
        <f>digestion_page!B57</f>
        <v>0</v>
      </c>
      <c r="H43" s="11">
        <f>digestion_page!C57</f>
        <v>0</v>
      </c>
      <c r="I43" s="11">
        <f>(LEFT(B43,FIND("/",B43)-1)/RIGHT(B43,LEN(B43)-FIND("/", B43)))</f>
        <v>0</v>
      </c>
    </row>
    <row r="44" spans="1:9">
      <c r="A44" s="5" t="s">
        <v>20</v>
      </c>
      <c r="B44" s="6">
        <f>"1/1"</f>
        <v>0</v>
      </c>
      <c r="C44" s="9"/>
      <c r="D44" s="10">
        <f>((C44)*(H44)*(I44))/(G44*1)</f>
        <v>0</v>
      </c>
      <c r="E44" s="10">
        <f>D44/10000</f>
        <v>0</v>
      </c>
      <c r="G44" s="11">
        <f>digestion_page!B58</f>
        <v>0</v>
      </c>
      <c r="H44" s="11">
        <f>digestion_page!C58</f>
        <v>0</v>
      </c>
      <c r="I44" s="11">
        <f>(LEFT(B44,FIND("/",B44)-1)/RIGHT(B44,LEN(B44)-FIND("/", B44)))</f>
        <v>0</v>
      </c>
    </row>
    <row r="46" spans="1:9">
      <c r="A46" s="12" t="s">
        <v>61</v>
      </c>
      <c r="B46" s="12"/>
      <c r="C46" s="13">
        <f>AVERAGE(D43:D44)</f>
        <v>0</v>
      </c>
    </row>
    <row r="47" spans="1:9">
      <c r="A47" s="12" t="s">
        <v>61</v>
      </c>
      <c r="B47" s="12"/>
      <c r="C47" s="14">
        <f>AVERAGE(E43:E44)</f>
        <v>0</v>
      </c>
    </row>
    <row r="48" spans="1:9">
      <c r="A48" s="12" t="s">
        <v>62</v>
      </c>
      <c r="B48" s="12"/>
      <c r="C48" s="15"/>
      <c r="D48" s="15"/>
      <c r="E48" s="15"/>
      <c r="F48" s="15"/>
    </row>
    <row r="50" spans="2:6">
      <c r="B50" s="12" t="s">
        <v>64</v>
      </c>
      <c r="C50" s="16"/>
      <c r="D50" s="16"/>
      <c r="E50" s="16"/>
      <c r="F50" s="16"/>
    </row>
    <row r="51" spans="2:6">
      <c r="C51" s="16"/>
      <c r="D51" s="16"/>
      <c r="E51" s="16"/>
      <c r="F51" s="16"/>
    </row>
    <row r="52" spans="2:6">
      <c r="C52" s="16"/>
      <c r="D52" s="16"/>
      <c r="E52" s="16"/>
      <c r="F52" s="16"/>
    </row>
  </sheetData>
  <mergeCells count="26">
    <mergeCell ref="A5:B5"/>
    <mergeCell ref="A10:B10"/>
    <mergeCell ref="A11:B11"/>
    <mergeCell ref="A12:B12"/>
    <mergeCell ref="C12:F12"/>
    <mergeCell ref="A14:B14"/>
    <mergeCell ref="A19:B19"/>
    <mergeCell ref="A20:B20"/>
    <mergeCell ref="A21:B21"/>
    <mergeCell ref="C21:F21"/>
    <mergeCell ref="A23:B23"/>
    <mergeCell ref="A28:B28"/>
    <mergeCell ref="A29:B29"/>
    <mergeCell ref="A30:B30"/>
    <mergeCell ref="C30:F30"/>
    <mergeCell ref="A32:B32"/>
    <mergeCell ref="A37:B37"/>
    <mergeCell ref="A38:B38"/>
    <mergeCell ref="A39:B39"/>
    <mergeCell ref="C39:F39"/>
    <mergeCell ref="A41:B41"/>
    <mergeCell ref="A46:B46"/>
    <mergeCell ref="A47:B47"/>
    <mergeCell ref="A48:B48"/>
    <mergeCell ref="C48:F48"/>
    <mergeCell ref="C50:F52"/>
  </mergeCells>
  <conditionalFormatting sqref="C12:F12">
    <cfRule type="containsBlanks" dxfId="0" priority="1">
      <formula>LEN(TRIM(C12))=0</formula>
    </cfRule>
  </conditionalFormatting>
  <conditionalFormatting sqref="C21:F21">
    <cfRule type="containsBlanks" dxfId="0" priority="2">
      <formula>LEN(TRIM(C21))=0</formula>
    </cfRule>
  </conditionalFormatting>
  <conditionalFormatting sqref="C30:F30">
    <cfRule type="containsBlanks" dxfId="0" priority="3">
      <formula>LEN(TRIM(C30))=0</formula>
    </cfRule>
  </conditionalFormatting>
  <conditionalFormatting sqref="C39:F39">
    <cfRule type="containsBlanks" dxfId="0" priority="4">
      <formula>LEN(TRIM(C39))=0</formula>
    </cfRule>
  </conditionalFormatting>
  <conditionalFormatting sqref="C48:F48">
    <cfRule type="containsBlanks" dxfId="0" priority="5">
      <formula>LEN(TRIM(C48))=0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cols>
    <col min="1" max="1" width="23.7109375" bestFit="1" customWidth="1"/>
    <col min="2" max="2" width="10.7109375" bestFit="1" customWidth="1"/>
    <col min="3" max="3" width="12.7109375" customWidth="1"/>
    <col min="4" max="4" width="14.85546875" bestFit="1" customWidth="1"/>
    <col min="5" max="5" width="11.42578125" bestFit="1" customWidth="1"/>
    <col min="6" max="42" width="7.7109375" customWidth="1"/>
  </cols>
  <sheetData>
    <row r="1" spans="1:9">
      <c r="A1" s="1" t="s">
        <v>0</v>
      </c>
      <c r="B1" s="2">
        <v>46283</v>
      </c>
    </row>
    <row r="2" spans="1:9">
      <c r="A2" s="1" t="s">
        <v>1</v>
      </c>
      <c r="B2" s="3" t="s">
        <v>2</v>
      </c>
    </row>
    <row r="5" spans="1:9">
      <c r="A5" s="3" t="s">
        <v>35</v>
      </c>
      <c r="B5" s="3"/>
    </row>
    <row r="6" spans="1:9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</row>
    <row r="7" spans="1:9">
      <c r="A7" s="5" t="s">
        <v>32</v>
      </c>
      <c r="B7" s="6">
        <f>"1/1"</f>
        <v>0</v>
      </c>
      <c r="C7" s="9"/>
      <c r="D7" s="10">
        <f>((C7)*(H7)*(I7))/(G7*1)</f>
        <v>0</v>
      </c>
      <c r="E7" s="10">
        <f>D7/10000</f>
        <v>0</v>
      </c>
      <c r="G7" s="11">
        <f>digestion_page!B48</f>
        <v>0</v>
      </c>
      <c r="H7" s="11">
        <f>digestion_page!C48</f>
        <v>0</v>
      </c>
      <c r="I7" s="11">
        <f>(LEFT(B7,FIND("/",B7)-1)/RIGHT(B7,LEN(B7)-FIND("/", B7)))</f>
        <v>0</v>
      </c>
    </row>
    <row r="8" spans="1:9">
      <c r="A8" s="5" t="s">
        <v>33</v>
      </c>
      <c r="B8" s="6">
        <f>"1/1"</f>
        <v>0</v>
      </c>
      <c r="C8" s="9"/>
      <c r="D8" s="10">
        <f>((C8)*(H8)*(I8))/(G8*1)</f>
        <v>0</v>
      </c>
      <c r="E8" s="10">
        <f>D8/10000</f>
        <v>0</v>
      </c>
      <c r="G8" s="11">
        <f>digestion_page!B49</f>
        <v>0</v>
      </c>
      <c r="H8" s="11">
        <f>digestion_page!C49</f>
        <v>0</v>
      </c>
      <c r="I8" s="11">
        <f>(LEFT(B8,FIND("/",B8)-1)/RIGHT(B8,LEN(B8)-FIND("/", B8)))</f>
        <v>0</v>
      </c>
    </row>
    <row r="10" spans="1:9">
      <c r="A10" s="12" t="s">
        <v>41</v>
      </c>
      <c r="B10" s="12"/>
      <c r="C10" s="13">
        <f>AVERAGE(D7:D8)</f>
        <v>0</v>
      </c>
    </row>
    <row r="11" spans="1:9">
      <c r="A11" s="12" t="s">
        <v>41</v>
      </c>
      <c r="B11" s="12"/>
      <c r="C11" s="14">
        <f>AVERAGE(E7:E8)</f>
        <v>0</v>
      </c>
    </row>
    <row r="12" spans="1:9">
      <c r="A12" s="12" t="s">
        <v>42</v>
      </c>
      <c r="B12" s="12"/>
      <c r="C12" s="15"/>
      <c r="D12" s="15"/>
      <c r="E12" s="15"/>
      <c r="F12" s="15"/>
    </row>
    <row r="14" spans="1:9">
      <c r="A14" s="3" t="s">
        <v>43</v>
      </c>
      <c r="B14" s="3"/>
    </row>
    <row r="15" spans="1:9">
      <c r="A15" s="5" t="s">
        <v>36</v>
      </c>
      <c r="B15" s="5" t="s">
        <v>37</v>
      </c>
      <c r="C15" s="5" t="s">
        <v>38</v>
      </c>
      <c r="D15" s="5" t="s">
        <v>44</v>
      </c>
      <c r="E15" s="5" t="s">
        <v>45</v>
      </c>
    </row>
    <row r="16" spans="1:9">
      <c r="A16" s="5" t="s">
        <v>21</v>
      </c>
      <c r="B16" s="6">
        <f>"1/1"</f>
        <v>0</v>
      </c>
      <c r="C16" s="9"/>
      <c r="D16" s="10">
        <f>((C16)*(H16)*(I16))/(G16*1)</f>
        <v>0</v>
      </c>
      <c r="E16" s="10">
        <f>D16/10000</f>
        <v>0</v>
      </c>
      <c r="G16" s="11">
        <f>digestion_page!B19</f>
        <v>0</v>
      </c>
      <c r="H16" s="11">
        <f>digestion_page!C19</f>
        <v>0</v>
      </c>
      <c r="I16" s="11">
        <f>(LEFT(B16,FIND("/",B16)-1)/RIGHT(B16,LEN(B16)-FIND("/", B16)))</f>
        <v>0</v>
      </c>
    </row>
    <row r="17" spans="1:9">
      <c r="A17" s="5" t="s">
        <v>22</v>
      </c>
      <c r="B17" s="6">
        <f>"1/1"</f>
        <v>0</v>
      </c>
      <c r="C17" s="9"/>
      <c r="D17" s="10">
        <f>((C17)*(H17)*(I17))/(G17*1)</f>
        <v>0</v>
      </c>
      <c r="E17" s="10">
        <f>D17/10000</f>
        <v>0</v>
      </c>
      <c r="G17" s="11">
        <f>digestion_page!B20</f>
        <v>0</v>
      </c>
      <c r="H17" s="11">
        <f>digestion_page!C20</f>
        <v>0</v>
      </c>
      <c r="I17" s="11">
        <f>(LEFT(B17,FIND("/",B17)-1)/RIGHT(B17,LEN(B17)-FIND("/", B17)))</f>
        <v>0</v>
      </c>
    </row>
    <row r="19" spans="1:9">
      <c r="A19" s="12" t="s">
        <v>46</v>
      </c>
      <c r="B19" s="12"/>
      <c r="C19" s="13">
        <f>AVERAGE(D16:D17)</f>
        <v>0</v>
      </c>
    </row>
    <row r="20" spans="1:9">
      <c r="A20" s="12" t="s">
        <v>46</v>
      </c>
      <c r="B20" s="12"/>
      <c r="C20" s="14">
        <f>AVERAGE(E16:E17)</f>
        <v>0</v>
      </c>
    </row>
    <row r="21" spans="1:9">
      <c r="A21" s="12" t="s">
        <v>47</v>
      </c>
      <c r="B21" s="12"/>
      <c r="C21" s="15" t="s">
        <v>63</v>
      </c>
      <c r="D21" s="15"/>
      <c r="E21" s="15"/>
      <c r="F21" s="15"/>
    </row>
    <row r="23" spans="1:9">
      <c r="A23" s="3" t="s">
        <v>48</v>
      </c>
      <c r="B23" s="3"/>
    </row>
    <row r="24" spans="1:9">
      <c r="A24" s="5" t="s">
        <v>36</v>
      </c>
      <c r="B24" s="5" t="s">
        <v>37</v>
      </c>
      <c r="C24" s="5" t="s">
        <v>38</v>
      </c>
      <c r="D24" s="5" t="s">
        <v>49</v>
      </c>
      <c r="E24" s="5" t="s">
        <v>50</v>
      </c>
    </row>
    <row r="25" spans="1:9">
      <c r="A25" s="5" t="s">
        <v>25</v>
      </c>
      <c r="B25" s="6">
        <f>"1/1"</f>
        <v>0</v>
      </c>
      <c r="C25" s="9"/>
      <c r="D25" s="10">
        <f>((C25)*(H25)*(I25))/(G25*1)</f>
        <v>0</v>
      </c>
      <c r="E25" s="10">
        <f>D25/10000</f>
        <v>0</v>
      </c>
      <c r="G25" s="11">
        <f>digestion_page!B37</f>
        <v>0</v>
      </c>
      <c r="H25" s="11">
        <f>digestion_page!C37</f>
        <v>0</v>
      </c>
      <c r="I25" s="11">
        <f>(LEFT(B25,FIND("/",B25)-1)/RIGHT(B25,LEN(B25)-FIND("/", B25)))</f>
        <v>0</v>
      </c>
    </row>
    <row r="26" spans="1:9">
      <c r="A26" s="5" t="s">
        <v>26</v>
      </c>
      <c r="B26" s="6">
        <f>"1/1"</f>
        <v>0</v>
      </c>
      <c r="C26" s="9"/>
      <c r="D26" s="10">
        <f>((C26)*(H26)*(I26))/(G26*1)</f>
        <v>0</v>
      </c>
      <c r="E26" s="10">
        <f>D26/10000</f>
        <v>0</v>
      </c>
      <c r="G26" s="11">
        <f>digestion_page!B38</f>
        <v>0</v>
      </c>
      <c r="H26" s="11">
        <f>digestion_page!C38</f>
        <v>0</v>
      </c>
      <c r="I26" s="11">
        <f>(LEFT(B26,FIND("/",B26)-1)/RIGHT(B26,LEN(B26)-FIND("/", B26)))</f>
        <v>0</v>
      </c>
    </row>
    <row r="28" spans="1:9">
      <c r="A28" s="12" t="s">
        <v>51</v>
      </c>
      <c r="B28" s="12"/>
      <c r="C28" s="13">
        <f>AVERAGE(D25:D26)</f>
        <v>0</v>
      </c>
    </row>
    <row r="29" spans="1:9">
      <c r="A29" s="12" t="s">
        <v>51</v>
      </c>
      <c r="B29" s="12"/>
      <c r="C29" s="14">
        <f>AVERAGE(E25:E26)</f>
        <v>0</v>
      </c>
    </row>
    <row r="30" spans="1:9">
      <c r="A30" s="12" t="s">
        <v>52</v>
      </c>
      <c r="B30" s="12"/>
      <c r="C30" s="15" t="s">
        <v>63</v>
      </c>
      <c r="D30" s="15"/>
      <c r="E30" s="15"/>
      <c r="F30" s="15"/>
    </row>
    <row r="32" spans="1:9">
      <c r="A32" s="3" t="s">
        <v>53</v>
      </c>
      <c r="B32" s="3"/>
    </row>
    <row r="33" spans="1:9">
      <c r="A33" s="5" t="s">
        <v>36</v>
      </c>
      <c r="B33" s="5" t="s">
        <v>37</v>
      </c>
      <c r="C33" s="5" t="s">
        <v>38</v>
      </c>
      <c r="D33" s="5" t="s">
        <v>54</v>
      </c>
      <c r="E33" s="5" t="s">
        <v>55</v>
      </c>
    </row>
    <row r="34" spans="1:9">
      <c r="A34" s="5" t="s">
        <v>32</v>
      </c>
      <c r="B34" s="6">
        <f>"1/1"</f>
        <v>0</v>
      </c>
      <c r="C34" s="9"/>
      <c r="D34" s="10">
        <f>((C34)*(H34)*(I34))/(G34*1)</f>
        <v>0</v>
      </c>
      <c r="E34" s="10">
        <f>D34/10000</f>
        <v>0</v>
      </c>
      <c r="G34" s="11">
        <f>digestion_page!B48</f>
        <v>0</v>
      </c>
      <c r="H34" s="11">
        <f>digestion_page!C48</f>
        <v>0</v>
      </c>
      <c r="I34" s="11">
        <f>(LEFT(B34,FIND("/",B34)-1)/RIGHT(B34,LEN(B34)-FIND("/", B34)))</f>
        <v>0</v>
      </c>
    </row>
    <row r="35" spans="1:9">
      <c r="A35" s="5" t="s">
        <v>33</v>
      </c>
      <c r="B35" s="6">
        <f>"1/1"</f>
        <v>0</v>
      </c>
      <c r="C35" s="9"/>
      <c r="D35" s="10">
        <f>((C35)*(H35)*(I35))/(G35*1)</f>
        <v>0</v>
      </c>
      <c r="E35" s="10">
        <f>D35/10000</f>
        <v>0</v>
      </c>
      <c r="G35" s="11">
        <f>digestion_page!B49</f>
        <v>0</v>
      </c>
      <c r="H35" s="11">
        <f>digestion_page!C49</f>
        <v>0</v>
      </c>
      <c r="I35" s="11">
        <f>(LEFT(B35,FIND("/",B35)-1)/RIGHT(B35,LEN(B35)-FIND("/", B35)))</f>
        <v>0</v>
      </c>
    </row>
    <row r="37" spans="1:9">
      <c r="A37" s="12" t="s">
        <v>56</v>
      </c>
      <c r="B37" s="12"/>
      <c r="C37" s="13">
        <f>AVERAGE(D34:D35)</f>
        <v>0</v>
      </c>
    </row>
    <row r="38" spans="1:9">
      <c r="A38" s="12" t="s">
        <v>56</v>
      </c>
      <c r="B38" s="12"/>
      <c r="C38" s="14">
        <f>AVERAGE(E34:E35)</f>
        <v>0</v>
      </c>
    </row>
    <row r="39" spans="1:9">
      <c r="A39" s="12" t="s">
        <v>57</v>
      </c>
      <c r="B39" s="12"/>
      <c r="C39" s="15" t="s">
        <v>63</v>
      </c>
      <c r="D39" s="15"/>
      <c r="E39" s="15"/>
      <c r="F39" s="15"/>
    </row>
    <row r="41" spans="1:9">
      <c r="A41" s="3" t="s">
        <v>58</v>
      </c>
      <c r="B41" s="3"/>
    </row>
    <row r="42" spans="1:9">
      <c r="A42" s="5" t="s">
        <v>36</v>
      </c>
      <c r="B42" s="5" t="s">
        <v>37</v>
      </c>
      <c r="C42" s="5" t="s">
        <v>38</v>
      </c>
      <c r="D42" s="5" t="s">
        <v>59</v>
      </c>
      <c r="E42" s="5" t="s">
        <v>60</v>
      </c>
    </row>
    <row r="43" spans="1:9">
      <c r="A43" s="5" t="s">
        <v>21</v>
      </c>
      <c r="B43" s="6">
        <f>"1/1"</f>
        <v>0</v>
      </c>
      <c r="C43" s="9"/>
      <c r="D43" s="10">
        <f>((C43)*(H43)*(I43))/(G43*1)</f>
        <v>0</v>
      </c>
      <c r="E43" s="10">
        <f>D43/10000</f>
        <v>0</v>
      </c>
      <c r="G43" s="11">
        <f>digestion_page!B59</f>
        <v>0</v>
      </c>
      <c r="H43" s="11">
        <f>digestion_page!C59</f>
        <v>0</v>
      </c>
      <c r="I43" s="11">
        <f>(LEFT(B43,FIND("/",B43)-1)/RIGHT(B43,LEN(B43)-FIND("/", B43)))</f>
        <v>0</v>
      </c>
    </row>
    <row r="44" spans="1:9">
      <c r="A44" s="5" t="s">
        <v>22</v>
      </c>
      <c r="B44" s="6">
        <f>"1/1"</f>
        <v>0</v>
      </c>
      <c r="C44" s="9"/>
      <c r="D44" s="10">
        <f>((C44)*(H44)*(I44))/(G44*1)</f>
        <v>0</v>
      </c>
      <c r="E44" s="10">
        <f>D44/10000</f>
        <v>0</v>
      </c>
      <c r="G44" s="11">
        <f>digestion_page!B60</f>
        <v>0</v>
      </c>
      <c r="H44" s="11">
        <f>digestion_page!C60</f>
        <v>0</v>
      </c>
      <c r="I44" s="11">
        <f>(LEFT(B44,FIND("/",B44)-1)/RIGHT(B44,LEN(B44)-FIND("/", B44)))</f>
        <v>0</v>
      </c>
    </row>
    <row r="46" spans="1:9">
      <c r="A46" s="12" t="s">
        <v>61</v>
      </c>
      <c r="B46" s="12"/>
      <c r="C46" s="13">
        <f>AVERAGE(D43:D44)</f>
        <v>0</v>
      </c>
    </row>
    <row r="47" spans="1:9">
      <c r="A47" s="12" t="s">
        <v>61</v>
      </c>
      <c r="B47" s="12"/>
      <c r="C47" s="14">
        <f>AVERAGE(E43:E44)</f>
        <v>0</v>
      </c>
    </row>
    <row r="48" spans="1:9">
      <c r="A48" s="12" t="s">
        <v>62</v>
      </c>
      <c r="B48" s="12"/>
      <c r="C48" s="15"/>
      <c r="D48" s="15"/>
      <c r="E48" s="15"/>
      <c r="F48" s="15"/>
    </row>
    <row r="50" spans="2:6">
      <c r="B50" s="12" t="s">
        <v>64</v>
      </c>
      <c r="C50" s="16"/>
      <c r="D50" s="16"/>
      <c r="E50" s="16"/>
      <c r="F50" s="16"/>
    </row>
    <row r="51" spans="2:6">
      <c r="C51" s="16"/>
      <c r="D51" s="16"/>
      <c r="E51" s="16"/>
      <c r="F51" s="16"/>
    </row>
    <row r="52" spans="2:6">
      <c r="C52" s="16"/>
      <c r="D52" s="16"/>
      <c r="E52" s="16"/>
      <c r="F52" s="16"/>
    </row>
  </sheetData>
  <mergeCells count="26">
    <mergeCell ref="A5:B5"/>
    <mergeCell ref="A10:B10"/>
    <mergeCell ref="A11:B11"/>
    <mergeCell ref="A12:B12"/>
    <mergeCell ref="C12:F12"/>
    <mergeCell ref="A14:B14"/>
    <mergeCell ref="A19:B19"/>
    <mergeCell ref="A20:B20"/>
    <mergeCell ref="A21:B21"/>
    <mergeCell ref="C21:F21"/>
    <mergeCell ref="A23:B23"/>
    <mergeCell ref="A28:B28"/>
    <mergeCell ref="A29:B29"/>
    <mergeCell ref="A30:B30"/>
    <mergeCell ref="C30:F30"/>
    <mergeCell ref="A32:B32"/>
    <mergeCell ref="A37:B37"/>
    <mergeCell ref="A38:B38"/>
    <mergeCell ref="A39:B39"/>
    <mergeCell ref="C39:F39"/>
    <mergeCell ref="A41:B41"/>
    <mergeCell ref="A46:B46"/>
    <mergeCell ref="A47:B47"/>
    <mergeCell ref="A48:B48"/>
    <mergeCell ref="C48:F48"/>
    <mergeCell ref="C50:F52"/>
  </mergeCells>
  <conditionalFormatting sqref="C12:F12">
    <cfRule type="containsBlanks" dxfId="0" priority="1">
      <formula>LEN(TRIM(C12))=0</formula>
    </cfRule>
  </conditionalFormatting>
  <conditionalFormatting sqref="C21:F21">
    <cfRule type="containsBlanks" dxfId="0" priority="2">
      <formula>LEN(TRIM(C21))=0</formula>
    </cfRule>
  </conditionalFormatting>
  <conditionalFormatting sqref="C30:F30">
    <cfRule type="containsBlanks" dxfId="0" priority="3">
      <formula>LEN(TRIM(C30))=0</formula>
    </cfRule>
  </conditionalFormatting>
  <conditionalFormatting sqref="C39:F39">
    <cfRule type="containsBlanks" dxfId="0" priority="4">
      <formula>LEN(TRIM(C39))=0</formula>
    </cfRule>
  </conditionalFormatting>
  <conditionalFormatting sqref="C48:F48">
    <cfRule type="containsBlanks" dxfId="0" priority="5">
      <formula>LEN(TRIM(C48))=0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46.140625" bestFit="1" customWidth="1"/>
  </cols>
  <sheetData>
    <row r="1" spans="1:1">
      <c r="A1" s="17" t="s">
        <v>65</v>
      </c>
    </row>
    <row r="3" spans="1:1">
      <c r="A3" s="17" t="s">
        <v>66</v>
      </c>
    </row>
    <row r="5" spans="1:1">
      <c r="A5" s="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200120001</vt:lpstr>
      <vt:lpstr>200120002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2026-09-18T12:15:08Z</dcterms:created>
  <dcterms:modified xsi:type="dcterms:W3CDTF">2026-09-18T12:15:08Z</dcterms:modified>
</cp:coreProperties>
</file>