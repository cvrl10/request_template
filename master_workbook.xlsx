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<sst xmlns="http://schemas.openxmlformats.org/spreadsheetml/2006/main" count="97" uniqueCount="49">
  <si>
    <t>Date:</t>
  </si>
  <si>
    <t>Request ID:</t>
  </si>
  <si>
    <t>100048600</t>
  </si>
  <si>
    <t>Microwave</t>
  </si>
  <si>
    <t>Analyte(s)</t>
  </si>
  <si>
    <t>Al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</si>
  <si>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</si>
  <si>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</si>
  <si>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</si>
  <si>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</si>
  <si>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</si>
  <si>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</si>
  <si>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</si>
  <si>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</si>
  <si>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</si>
  <si>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</si>
  <si>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</si>
  <si>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</si>
  <si>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</si>
  <si>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</si>
  <si>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</si>
  <si>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</si>
  <si>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</si>
  <si>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Hotplate</t>
  </si>
  <si>
    <t>Cr6+</t>
  </si>
  <si>
    <t>Cocktail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</si>
  <si>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</si>
  <si>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</si>
  <si>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</si>
  <si>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</si>
  <si>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</si>
  <si>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</si>
  <si>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</si>
  <si>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</si>
  <si>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</si>
  <si>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</si>
  <si>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Cr6+ titration analysis</t>
  </si>
  <si>
    <t>titrant_volume (mL)</t>
  </si>
  <si>
    <t>%Cr6+</t>
  </si>
  <si>
    <t>FAS:</t>
  </si>
  <si>
    <t>cr6+ result:</t>
  </si>
  <si>
    <t>Manufacturer: Assurance, 27-171ALT exp: 2026-07-30</t>
  </si>
  <si>
    <t>Note(s):</t>
  </si>
  <si>
    <t>ppm M+ = [conc.][volume][dilution]/[weight]</t>
  </si>
  <si>
    <t>%M+ = [conc.][volume][dilution]/([weight]*10,000)</t>
  </si>
  <si>
    <t>%MO = [oxide factor]*%M+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</si>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</sst>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  <numFmt numFmtId="170" formatCode="0.000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170" fontId="0" fillId="0" borderId="1" xfId="0" applyNumberFormat="1" applyBorder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46202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3" spans="1:3">
      <c r="A23" s="4" t="s">
        <v>23</v>
      </c>
      <c r="B23" s="4"/>
      <c r="C23" s="4"/>
    </row>
    <row r="24" spans="1:3">
      <c r="A24" s="5" t="s">
        <v>4</v>
      </c>
      <c r="B24" s="6" t="s">
        <v>24</v>
      </c>
      <c r="C24" s="6"/>
    </row>
    <row r="25" spans="1:3">
      <c r="A25" s="5" t="s">
        <v>6</v>
      </c>
      <c r="B25" s="6"/>
      <c r="C25" s="6"/>
    </row>
    <row r="26" spans="1:3">
      <c r="A26" s="5" t="s">
        <v>25</v>
      </c>
      <c r="B26" s="6"/>
      <c r="C26" s="6"/>
    </row>
    <row r="27" spans="1:3">
      <c r="A27" s="5" t="s">
        <v>16</v>
      </c>
      <c r="B27" s="5" t="s">
        <v>17</v>
      </c>
      <c r="C27" s="5" t="s">
        <v>18</v>
      </c>
    </row>
    <row r="28" spans="1:3">
      <c r="A28" s="5" t="s">
        <v>19</v>
      </c>
      <c r="B28" s="8"/>
      <c r="C28" s="6"/>
    </row>
    <row r="29" spans="1:3">
      <c r="A29" s="5" t="s">
        <v>20</v>
      </c>
      <c r="B29" s="8"/>
      <c r="C29" s="6"/>
    </row>
    <row r="30" spans="1:3">
      <c r="A30" s="5" t="s">
        <v>21</v>
      </c>
      <c r="B30" s="8"/>
      <c r="C30" s="6"/>
    </row>
    <row r="31" spans="1:3">
      <c r="A31" s="5" t="s">
        <v>22</v>
      </c>
      <c r="B31" s="8"/>
      <c r="C31" s="6"/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3:C23"/>
    <mergeCell ref="B24:C24"/>
    <mergeCell ref="B25:C25"/>
    <mergeCell ref="B26:C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7"/>
  <sheetViews>
    <sheetView workbookViewId="0"/>
  </sheetViews>
  <sheetFormatPr defaultRowHeight="15"/>
  <cols>
    <col min="1" max="1" width="20" bestFit="1" customWidth="1"/>
    <col min="2" max="2" width="10.7109375" bestFit="1" customWidth="1"/>
    <col min="3" max="3" width="18.7109375" bestFit="1" customWidth="1"/>
    <col min="4" max="4" width="7.85546875" bestFit="1" customWidth="1"/>
    <col min="5" max="6" width="7.7109375" customWidth="1"/>
  </cols>
  <sheetData>
    <row r="1" spans="1:9">
      <c r="A1" s="1" t="s">
        <v>0</v>
      </c>
      <c r="B1" s="2">
        <v>46202</v>
      </c>
    </row>
    <row r="2" spans="1:9">
      <c r="A2" s="1" t="s">
        <v>1</v>
      </c>
      <c r="B2" s="3" t="s">
        <v>2</v>
      </c>
    </row>
    <row r="5" spans="1:9">
      <c r="A5" s="3" t="s">
        <v>26</v>
      </c>
      <c r="B5" s="3"/>
    </row>
    <row r="6" spans="1:9">
      <c r="A6" s="5" t="s">
        <v>27</v>
      </c>
      <c r="B6" s="5" t="s">
        <v>28</v>
      </c>
      <c r="C6" s="5" t="s">
        <v>29</v>
      </c>
      <c r="D6" s="5" t="s">
        <v>30</v>
      </c>
      <c r="E6" s="5" t="s">
        <v>31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32</v>
      </c>
      <c r="B10" s="12"/>
      <c r="C10" s="13">
        <f>AVERAGE(D7:D8)</f>
        <v>0</v>
      </c>
    </row>
    <row r="11" spans="1:9">
      <c r="A11" s="12" t="s">
        <v>32</v>
      </c>
      <c r="B11" s="12"/>
      <c r="C11" s="14">
        <f>AVERAGE(E7:E8)</f>
        <v>0</v>
      </c>
    </row>
    <row r="12" spans="1:9">
      <c r="A12" s="12" t="s">
        <v>33</v>
      </c>
      <c r="B12" s="12"/>
      <c r="C12" s="3"/>
    </row>
    <row r="13" spans="1:9">
      <c r="A13" s="12" t="s">
        <v>34</v>
      </c>
      <c r="B13" s="12"/>
      <c r="C13" s="14">
        <f>AVERAGE(E7:E8)*(C12)</f>
        <v>0</v>
      </c>
    </row>
    <row r="14" spans="1:9">
      <c r="A14" s="12" t="s">
        <v>35</v>
      </c>
      <c r="B14" s="12"/>
      <c r="C14" s="15" t="s">
        <v>41</v>
      </c>
      <c r="D14" s="15"/>
      <c r="E14" s="15"/>
      <c r="F14" s="15"/>
    </row>
    <row r="16" spans="1:9">
      <c r="A16" s="3" t="s">
        <v>36</v>
      </c>
      <c r="B16" s="3"/>
    </row>
    <row r="17" spans="1:7">
      <c r="A17" s="5" t="s">
        <v>27</v>
      </c>
      <c r="B17" s="5" t="s">
        <v>17</v>
      </c>
      <c r="C17" s="5" t="s">
        <v>37</v>
      </c>
      <c r="D17" s="5" t="s">
        <v>38</v>
      </c>
    </row>
    <row r="18" spans="1:7">
      <c r="A18" s="5" t="s">
        <v>19</v>
      </c>
      <c r="B18" s="8">
        <f>G18</f>
        <v>0</v>
      </c>
      <c r="C18" s="16"/>
      <c r="D18" s="9"/>
      <c r="G18" s="11">
        <f>digestion_page!B28</f>
        <v>0</v>
      </c>
    </row>
    <row r="19" spans="1:7">
      <c r="A19" s="5" t="s">
        <v>20</v>
      </c>
      <c r="B19" s="8">
        <f>G19</f>
        <v>0</v>
      </c>
      <c r="C19" s="16"/>
      <c r="D19" s="9"/>
      <c r="G19" s="11">
        <f>digestion_page!B29</f>
        <v>0</v>
      </c>
    </row>
    <row r="21" spans="1:7">
      <c r="A21" s="12" t="s">
        <v>39</v>
      </c>
      <c r="B21" s="12"/>
      <c r="C21" s="3"/>
    </row>
    <row r="22" spans="1:7">
      <c r="A22" s="12" t="s">
        <v>40</v>
      </c>
      <c r="B22" s="12"/>
      <c r="C22" s="13">
        <f>AVERAGE(D18:D19)*(10000)*(1/1)</f>
        <v>0</v>
      </c>
    </row>
    <row r="23" spans="1:7">
      <c r="A23" s="12" t="s">
        <v>40</v>
      </c>
      <c r="B23" s="12"/>
      <c r="C23" s="14">
        <f>AVERAGE(D18:D19)*(1/1)</f>
        <v>0</v>
      </c>
    </row>
    <row r="25" spans="1:7">
      <c r="B25" s="12" t="s">
        <v>42</v>
      </c>
      <c r="C25" s="17"/>
      <c r="D25" s="17"/>
      <c r="E25" s="17"/>
      <c r="F25" s="17"/>
    </row>
    <row r="26" spans="1:7">
      <c r="C26" s="17"/>
      <c r="D26" s="17"/>
      <c r="E26" s="17"/>
      <c r="F26" s="17"/>
    </row>
    <row r="27" spans="1:7">
      <c r="C27" s="17"/>
      <c r="D27" s="17"/>
      <c r="E27" s="17"/>
      <c r="F27" s="17"/>
    </row>
  </sheetData>
  <mergeCells count="1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C25:F27"/>
  </mergeCells>
  <conditionalFormatting sqref="C14:F14">
    <cfRule type="containsBlanks" dxfId="0" priority="1">
      <formula>LEN(TRIM(C14))=0</formula>
    </cfRule>
  </conditionalFormatting>
  <conditionalFormatting sqref="C21">
    <cfRule type="containsBlanks" dxfId="0" priority="2">
      <formula>LEN(TRIM(C21))=0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7"/>
  <sheetViews>
    <sheetView workbookViewId="0"/>
  </sheetViews>
  <sheetFormatPr defaultRowHeight="15"/>
  <cols>
    <col min="1" max="1" width="20" bestFit="1" customWidth="1"/>
    <col min="2" max="2" width="10.7109375" bestFit="1" customWidth="1"/>
    <col min="3" max="3" width="18.7109375" bestFit="1" customWidth="1"/>
    <col min="4" max="4" width="7.85546875" bestFit="1" customWidth="1"/>
    <col min="5" max="6" width="7.7109375" customWidth="1"/>
  </cols>
  <sheetData>
    <row r="1" spans="1:9">
      <c r="A1" s="1" t="s">
        <v>0</v>
      </c>
      <c r="B1" s="2">
        <v>46202</v>
      </c>
    </row>
    <row r="2" spans="1:9">
      <c r="A2" s="1" t="s">
        <v>1</v>
      </c>
      <c r="B2" s="3" t="s">
        <v>2</v>
      </c>
    </row>
    <row r="5" spans="1:9">
      <c r="A5" s="3" t="s">
        <v>26</v>
      </c>
      <c r="B5" s="3"/>
    </row>
    <row r="6" spans="1:9">
      <c r="A6" s="5" t="s">
        <v>27</v>
      </c>
      <c r="B6" s="5" t="s">
        <v>28</v>
      </c>
      <c r="C6" s="5" t="s">
        <v>29</v>
      </c>
      <c r="D6" s="5" t="s">
        <v>30</v>
      </c>
      <c r="E6" s="5" t="s">
        <v>31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32</v>
      </c>
      <c r="B10" s="12"/>
      <c r="C10" s="13">
        <f>AVERAGE(D7:D8)</f>
        <v>0</v>
      </c>
    </row>
    <row r="11" spans="1:9">
      <c r="A11" s="12" t="s">
        <v>32</v>
      </c>
      <c r="B11" s="12"/>
      <c r="C11" s="14">
        <f>AVERAGE(E7:E8)</f>
        <v>0</v>
      </c>
    </row>
    <row r="12" spans="1:9">
      <c r="A12" s="12" t="s">
        <v>33</v>
      </c>
      <c r="B12" s="12"/>
      <c r="C12" s="3"/>
    </row>
    <row r="13" spans="1:9">
      <c r="A13" s="12" t="s">
        <v>34</v>
      </c>
      <c r="B13" s="12"/>
      <c r="C13" s="14">
        <f>AVERAGE(E7:E8)*(C12)</f>
        <v>0</v>
      </c>
    </row>
    <row r="14" spans="1:9">
      <c r="A14" s="12" t="s">
        <v>35</v>
      </c>
      <c r="B14" s="12"/>
      <c r="C14" s="15" t="s">
        <v>41</v>
      </c>
      <c r="D14" s="15"/>
      <c r="E14" s="15"/>
      <c r="F14" s="15"/>
    </row>
    <row r="16" spans="1:9">
      <c r="A16" s="3" t="s">
        <v>36</v>
      </c>
      <c r="B16" s="3"/>
    </row>
    <row r="17" spans="1:7">
      <c r="A17" s="5" t="s">
        <v>27</v>
      </c>
      <c r="B17" s="5" t="s">
        <v>17</v>
      </c>
      <c r="C17" s="5" t="s">
        <v>37</v>
      </c>
      <c r="D17" s="5" t="s">
        <v>38</v>
      </c>
    </row>
    <row r="18" spans="1:7">
      <c r="A18" s="5" t="s">
        <v>21</v>
      </c>
      <c r="B18" s="8">
        <f>G18</f>
        <v>0</v>
      </c>
      <c r="C18" s="16"/>
      <c r="D18" s="9"/>
      <c r="G18" s="11">
        <f>digestion_page!B30</f>
        <v>0</v>
      </c>
    </row>
    <row r="19" spans="1:7">
      <c r="A19" s="5" t="s">
        <v>22</v>
      </c>
      <c r="B19" s="8">
        <f>G19</f>
        <v>0</v>
      </c>
      <c r="C19" s="16"/>
      <c r="D19" s="9"/>
      <c r="G19" s="11">
        <f>digestion_page!B31</f>
        <v>0</v>
      </c>
    </row>
    <row r="21" spans="1:7">
      <c r="A21" s="12" t="s">
        <v>39</v>
      </c>
      <c r="B21" s="12"/>
      <c r="C21" s="3"/>
    </row>
    <row r="22" spans="1:7">
      <c r="A22" s="12" t="s">
        <v>40</v>
      </c>
      <c r="B22" s="12"/>
      <c r="C22" s="13">
        <f>AVERAGE(D18:D19)*(10000)*(1/1)</f>
        <v>0</v>
      </c>
    </row>
    <row r="23" spans="1:7">
      <c r="A23" s="12" t="s">
        <v>40</v>
      </c>
      <c r="B23" s="12"/>
      <c r="C23" s="14">
        <f>AVERAGE(D18:D19)*(1/1)</f>
        <v>0</v>
      </c>
    </row>
    <row r="25" spans="1:7">
      <c r="B25" s="12" t="s">
        <v>42</v>
      </c>
      <c r="C25" s="17"/>
      <c r="D25" s="17"/>
      <c r="E25" s="17"/>
      <c r="F25" s="17"/>
    </row>
    <row r="26" spans="1:7">
      <c r="C26" s="17"/>
      <c r="D26" s="17"/>
      <c r="E26" s="17"/>
      <c r="F26" s="17"/>
    </row>
    <row r="27" spans="1:7">
      <c r="C27" s="17"/>
      <c r="D27" s="17"/>
      <c r="E27" s="17"/>
      <c r="F27" s="17"/>
    </row>
  </sheetData>
  <mergeCells count="1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C25:F27"/>
  </mergeCells>
  <conditionalFormatting sqref="C14:F14">
    <cfRule type="containsBlanks" dxfId="0" priority="1">
      <formula>LEN(TRIM(C14))=0</formula>
    </cfRule>
  </conditionalFormatting>
  <conditionalFormatting sqref="C21">
    <cfRule type="containsBlanks" dxfId="0" priority="2">
      <formula>LEN(TRIM(C21))=0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1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43</v>
      </c>
    </row>
    <row r="3" spans="1:1">
      <c r="A3" s="18" t="s">
        <v>44</v>
      </c>
    </row>
    <row r="5" spans="1:1">
      <c r="A5" s="18" t="s">
        <v>45</v>
      </c>
    </row>
    <row r="7" spans="1:1">
      <c r="A7" s="18" t="s">
        <v>46</v>
      </c>
    </row>
    <row r="9" spans="1:1">
      <c r="A9" s="18" t="s">
        <v>47</v>
      </c>
    </row>
    <row r="11" spans="1:1">
      <c r="A11" s="18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2026-06-29T22:36:01Z</dcterms:created>
  <dcterms:modified xsi:type="dcterms:W3CDTF">2026-06-29T22:36:01Z</dcterms:modified>
</cp:coreProperties>
</file>