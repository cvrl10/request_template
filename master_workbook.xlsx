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0" sheetId="2" r:id="rId2"/>
    <sheet name="200120001" sheetId="3" r:id="rId3"/>
    <sheet name="200120002" sheetId="4" r:id="rId4"/>
    <sheet name="200120003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<sst xmlns="http://schemas.openxmlformats.org/spreadsheetml/2006/main" count="174" uniqueCount="51">
  <si>
    <t>Date:</t>
  </si>
  <si>
    <t>Request ID:</t>
  </si>
  <si>
    <t>TEST</t>
  </si>
  <si>
    <t>Katanax</t>
  </si>
  <si>
    <t>Element(s)</t>
  </si>
  <si>
    <t>Al, Ca</t>
  </si>
  <si>
    <t>SOP#</t>
  </si>
  <si>
    <t>Acid Cocktail</t>
  </si>
  <si>
    <t>sample(s)</t>
  </si>
  <si>
    <t>weight (g)</t>
  </si>
  <si>
    <t>volume (mL)</t>
  </si>
  <si>
    <t>200120000_1</t>
  </si>
  <si>
    <t>200120000_2</t>
  </si>
  <si>
    <t>200120001_1</t>
  </si>
  <si>
    <t>200120001_2</t>
  </si>
  <si>
    <t>200120002_1</t>
  </si>
  <si>
    <t>200120002_2</t>
  </si>
  <si>
    <t>200120003_1</t>
  </si>
  <si>
    <t>200120003_2</t>
  </si>
  <si>
    <t>Ti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</si>
  <si>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</si>
  <si>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</si>
  <si>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</si>
  <si>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</si>
  <si>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</si>
  <si>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</si>
  <si>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</si>
  <si>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</si>
  <si>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</si>
  <si>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</si>
  <si>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Ca ICP analysis</t>
  </si>
  <si>
    <t>Ca_ppm</t>
  </si>
  <si>
    <t>%Ca</t>
  </si>
  <si>
    <t>ca result:</t>
  </si>
  <si>
    <t>ca oxide factor:</t>
  </si>
  <si>
    <t>ca oxide result:</t>
  </si>
  <si>
    <t>ca lot:</t>
  </si>
  <si>
    <t>Manufacturer: Assurance, 27-171ALT exp: 2026-07-30</t>
  </si>
  <si>
    <t>Manufacturer: Assurance, 28-35CAY exp: 2026-10-30</t>
  </si>
  <si>
    <t>Note(s):</t>
  </si>
  <si>
    <t>Ti ICP analysis</t>
  </si>
  <si>
    <t>Ti_ppm</t>
  </si>
  <si>
    <t>%Ti</t>
  </si>
  <si>
    <t>ti result:</t>
  </si>
  <si>
    <t>ti oxide factor:</t>
  </si>
  <si>
    <t>ti oxide result:</t>
  </si>
  <si>
    <t>ti lot:</t>
  </si>
  <si>
    <t>Manufacturer: Assurance, 27-189TIT exp: 2026-08-30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</si>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</sst>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6"/>
  <sheetViews>
    <sheetView tabSelected="1" workbookViewId="0"/>
  </sheetViews>
  <sheetFormatPr defaultRowHeight="15"/>
  <cols>
    <col min="1" max="1" width="12.7109375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46196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>
        <v>250</v>
      </c>
    </row>
    <row r="11" spans="1:3">
      <c r="A11" s="5" t="s">
        <v>12</v>
      </c>
      <c r="B11" s="7"/>
      <c r="C11" s="6">
        <v>250</v>
      </c>
    </row>
    <row r="12" spans="1:3">
      <c r="A12" s="5" t="s">
        <v>13</v>
      </c>
      <c r="B12" s="7"/>
      <c r="C12" s="6">
        <v>250</v>
      </c>
    </row>
    <row r="13" spans="1:3">
      <c r="A13" s="5" t="s">
        <v>14</v>
      </c>
      <c r="B13" s="7"/>
      <c r="C13" s="6">
        <v>250</v>
      </c>
    </row>
    <row r="14" spans="1:3">
      <c r="A14" s="5" t="s">
        <v>15</v>
      </c>
      <c r="B14" s="7"/>
      <c r="C14" s="6">
        <v>250</v>
      </c>
    </row>
    <row r="15" spans="1:3">
      <c r="A15" s="5" t="s">
        <v>16</v>
      </c>
      <c r="B15" s="7"/>
      <c r="C15" s="6">
        <v>250</v>
      </c>
    </row>
    <row r="16" spans="1:3">
      <c r="A16" s="5" t="s">
        <v>17</v>
      </c>
      <c r="B16" s="7"/>
      <c r="C16" s="6">
        <v>250</v>
      </c>
    </row>
    <row r="17" spans="1:3">
      <c r="A17" s="5" t="s">
        <v>18</v>
      </c>
      <c r="B17" s="7"/>
      <c r="C17" s="6">
        <v>250</v>
      </c>
    </row>
    <row r="20" spans="1:3">
      <c r="A20" s="4" t="s">
        <v>3</v>
      </c>
      <c r="B20" s="4"/>
      <c r="C20" s="4"/>
    </row>
    <row r="21" spans="1:3">
      <c r="A21" s="5" t="s">
        <v>4</v>
      </c>
      <c r="B21" s="6" t="s">
        <v>19</v>
      </c>
      <c r="C21" s="6"/>
    </row>
    <row r="22" spans="1:3">
      <c r="A22" s="5" t="s">
        <v>6</v>
      </c>
      <c r="B22" s="6"/>
      <c r="C22" s="6"/>
    </row>
    <row r="23" spans="1:3">
      <c r="A23" s="5" t="s">
        <v>7</v>
      </c>
      <c r="B23" s="6"/>
      <c r="C23" s="6"/>
    </row>
    <row r="24" spans="1:3">
      <c r="A24" s="5" t="s">
        <v>8</v>
      </c>
      <c r="B24" s="5" t="s">
        <v>9</v>
      </c>
      <c r="C24" s="5" t="s">
        <v>10</v>
      </c>
    </row>
    <row r="25" spans="1:3">
      <c r="A25" s="5" t="s">
        <v>17</v>
      </c>
      <c r="B25" s="7"/>
      <c r="C25" s="6">
        <v>250</v>
      </c>
    </row>
    <row r="26" spans="1:3">
      <c r="A26" s="5" t="s">
        <v>18</v>
      </c>
      <c r="B26" s="7"/>
      <c r="C26" s="6">
        <v>250</v>
      </c>
    </row>
  </sheetData>
  <mergeCells count="8">
    <mergeCell ref="A5:C5"/>
    <mergeCell ref="B6:C6"/>
    <mergeCell ref="B7:C7"/>
    <mergeCell ref="B8:C8"/>
    <mergeCell ref="A20:C20"/>
    <mergeCell ref="B21:C21"/>
    <mergeCell ref="B22:C22"/>
    <mergeCell ref="B23:C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46196</v>
      </c>
    </row>
    <row r="2" spans="1:9">
      <c r="A2" s="1" t="s">
        <v>1</v>
      </c>
      <c r="B2" s="3" t="s">
        <v>2</v>
      </c>
    </row>
    <row r="5" spans="1:9">
      <c r="A5" s="3" t="s">
        <v>20</v>
      </c>
      <c r="B5" s="3"/>
    </row>
    <row r="6" spans="1:9">
      <c r="A6" s="5" t="s">
        <v>21</v>
      </c>
      <c r="B6" s="5" t="s">
        <v>22</v>
      </c>
      <c r="C6" s="5" t="s">
        <v>23</v>
      </c>
      <c r="D6" s="5" t="s">
        <v>24</v>
      </c>
      <c r="E6" s="5" t="s">
        <v>25</v>
      </c>
    </row>
    <row r="7" spans="1:9">
      <c r="A7" s="5" t="s">
        <v>11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digestion_page!B10</f>
        <v>0</v>
      </c>
      <c r="H7" s="10">
        <f>digestion_page!C10</f>
        <v>0</v>
      </c>
      <c r="I7" s="10">
        <f>(LEFT(B7,FIND("/",B7)-1)/RIGHT(B7,LEN(B7)-FIND("/", B7)))</f>
        <v>0</v>
      </c>
    </row>
    <row r="8" spans="1:9">
      <c r="A8" s="5" t="s">
        <v>12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</f>
        <v>0</v>
      </c>
      <c r="H8" s="10">
        <f>digestion_page!C11</f>
        <v>0</v>
      </c>
      <c r="I8" s="10">
        <f>(LEFT(B8,FIND("/",B8)-1)/RIGHT(B8,LEN(B8)-FIND("/", B8)))</f>
        <v>0</v>
      </c>
    </row>
    <row r="10" spans="1:9">
      <c r="A10" s="11" t="s">
        <v>26</v>
      </c>
      <c r="B10" s="11"/>
      <c r="C10" s="12">
        <f>AVERAGE(D7:D8)</f>
        <v>0</v>
      </c>
    </row>
    <row r="11" spans="1:9">
      <c r="A11" s="11" t="s">
        <v>26</v>
      </c>
      <c r="B11" s="11"/>
      <c r="C11" s="13">
        <f>AVERAGE(E7:E8)</f>
        <v>0</v>
      </c>
    </row>
    <row r="12" spans="1:9">
      <c r="A12" s="11" t="s">
        <v>27</v>
      </c>
      <c r="B12" s="11"/>
      <c r="C12" s="3"/>
    </row>
    <row r="13" spans="1:9">
      <c r="A13" s="11" t="s">
        <v>28</v>
      </c>
      <c r="B13" s="11"/>
      <c r="C13" s="13">
        <f>AVERAGE(E7:E8)*(C12)</f>
        <v>0</v>
      </c>
    </row>
    <row r="14" spans="1:9">
      <c r="A14" s="11" t="s">
        <v>29</v>
      </c>
      <c r="B14" s="11"/>
      <c r="C14" s="14" t="s">
        <v>37</v>
      </c>
      <c r="D14" s="14"/>
      <c r="E14" s="14"/>
      <c r="F14" s="14"/>
    </row>
    <row r="16" spans="1:9">
      <c r="A16" s="3" t="s">
        <v>30</v>
      </c>
      <c r="B16" s="3"/>
    </row>
    <row r="17" spans="1:9">
      <c r="A17" s="5" t="s">
        <v>21</v>
      </c>
      <c r="B17" s="5" t="s">
        <v>22</v>
      </c>
      <c r="C17" s="5" t="s">
        <v>23</v>
      </c>
      <c r="D17" s="5" t="s">
        <v>31</v>
      </c>
      <c r="E17" s="5" t="s">
        <v>32</v>
      </c>
    </row>
    <row r="18" spans="1:9">
      <c r="A18" s="5" t="s">
        <v>11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digestion_page!B10</f>
        <v>0</v>
      </c>
      <c r="H18" s="10">
        <f>digestion_page!C10</f>
        <v>0</v>
      </c>
      <c r="I18" s="10">
        <f>(LEFT(B18,FIND("/",B18)-1)/RIGHT(B18,LEN(B18)-FIND("/", B18)))</f>
        <v>0</v>
      </c>
    </row>
    <row r="19" spans="1:9">
      <c r="A19" s="5" t="s">
        <v>12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digestion_page!B11</f>
        <v>0</v>
      </c>
      <c r="H19" s="10">
        <f>digestion_page!C11</f>
        <v>0</v>
      </c>
      <c r="I19" s="10">
        <f>(LEFT(B19,FIND("/",B19)-1)/RIGHT(B19,LEN(B19)-FIND("/", B19)))</f>
        <v>0</v>
      </c>
    </row>
    <row r="21" spans="1:9">
      <c r="A21" s="11" t="s">
        <v>33</v>
      </c>
      <c r="B21" s="11"/>
      <c r="C21" s="12">
        <f>AVERAGE(D18:D19)</f>
        <v>0</v>
      </c>
    </row>
    <row r="22" spans="1:9">
      <c r="A22" s="11" t="s">
        <v>33</v>
      </c>
      <c r="B22" s="11"/>
      <c r="C22" s="13">
        <f>AVERAGE(E18:E19)</f>
        <v>0</v>
      </c>
    </row>
    <row r="23" spans="1:9">
      <c r="A23" s="11" t="s">
        <v>34</v>
      </c>
      <c r="B23" s="11"/>
      <c r="C23" s="3"/>
    </row>
    <row r="24" spans="1:9">
      <c r="A24" s="11" t="s">
        <v>35</v>
      </c>
      <c r="B24" s="11"/>
      <c r="C24" s="13">
        <f>AVERAGE(E18:E19)*(C23)</f>
        <v>0</v>
      </c>
    </row>
    <row r="25" spans="1:9">
      <c r="A25" s="11" t="s">
        <v>36</v>
      </c>
      <c r="B25" s="11"/>
      <c r="C25" s="14" t="s">
        <v>38</v>
      </c>
      <c r="D25" s="14"/>
      <c r="E25" s="14"/>
      <c r="F25" s="14"/>
    </row>
    <row r="27" spans="1:9">
      <c r="B27" s="11" t="s">
        <v>39</v>
      </c>
      <c r="C27" s="15"/>
      <c r="D27" s="15"/>
      <c r="E27" s="15"/>
      <c r="F27" s="15"/>
    </row>
    <row r="28" spans="1:9">
      <c r="C28" s="15"/>
      <c r="D28" s="15"/>
      <c r="E28" s="15"/>
      <c r="F28" s="15"/>
    </row>
    <row r="29" spans="1:9">
      <c r="C29" s="15"/>
      <c r="D29" s="15"/>
      <c r="E29" s="15"/>
      <c r="F29" s="15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46196</v>
      </c>
    </row>
    <row r="2" spans="1:9">
      <c r="A2" s="1" t="s">
        <v>1</v>
      </c>
      <c r="B2" s="3" t="s">
        <v>2</v>
      </c>
    </row>
    <row r="5" spans="1:9">
      <c r="A5" s="3" t="s">
        <v>20</v>
      </c>
      <c r="B5" s="3"/>
    </row>
    <row r="6" spans="1:9">
      <c r="A6" s="5" t="s">
        <v>21</v>
      </c>
      <c r="B6" s="5" t="s">
        <v>22</v>
      </c>
      <c r="C6" s="5" t="s">
        <v>23</v>
      </c>
      <c r="D6" s="5" t="s">
        <v>24</v>
      </c>
      <c r="E6" s="5" t="s">
        <v>25</v>
      </c>
    </row>
    <row r="7" spans="1:9">
      <c r="A7" s="5" t="s">
        <v>13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digestion_page!B12</f>
        <v>0</v>
      </c>
      <c r="H7" s="10">
        <f>digestion_page!C12</f>
        <v>0</v>
      </c>
      <c r="I7" s="10">
        <f>(LEFT(B7,FIND("/",B7)-1)/RIGHT(B7,LEN(B7)-FIND("/", B7)))</f>
        <v>0</v>
      </c>
    </row>
    <row r="8" spans="1:9">
      <c r="A8" s="5" t="s">
        <v>14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digestion_page!B13</f>
        <v>0</v>
      </c>
      <c r="H8" s="10">
        <f>digestion_page!C13</f>
        <v>0</v>
      </c>
      <c r="I8" s="10">
        <f>(LEFT(B8,FIND("/",B8)-1)/RIGHT(B8,LEN(B8)-FIND("/", B8)))</f>
        <v>0</v>
      </c>
    </row>
    <row r="10" spans="1:9">
      <c r="A10" s="11" t="s">
        <v>26</v>
      </c>
      <c r="B10" s="11"/>
      <c r="C10" s="12">
        <f>AVERAGE(D7:D8)</f>
        <v>0</v>
      </c>
    </row>
    <row r="11" spans="1:9">
      <c r="A11" s="11" t="s">
        <v>26</v>
      </c>
      <c r="B11" s="11"/>
      <c r="C11" s="13">
        <f>AVERAGE(E7:E8)</f>
        <v>0</v>
      </c>
    </row>
    <row r="12" spans="1:9">
      <c r="A12" s="11" t="s">
        <v>27</v>
      </c>
      <c r="B12" s="11"/>
      <c r="C12" s="3"/>
    </row>
    <row r="13" spans="1:9">
      <c r="A13" s="11" t="s">
        <v>28</v>
      </c>
      <c r="B13" s="11"/>
      <c r="C13" s="13">
        <f>AVERAGE(E7:E8)*(C12)</f>
        <v>0</v>
      </c>
    </row>
    <row r="14" spans="1:9">
      <c r="A14" s="11" t="s">
        <v>29</v>
      </c>
      <c r="B14" s="11"/>
      <c r="C14" s="14" t="s">
        <v>37</v>
      </c>
      <c r="D14" s="14"/>
      <c r="E14" s="14"/>
      <c r="F14" s="14"/>
    </row>
    <row r="16" spans="1:9">
      <c r="A16" s="3" t="s">
        <v>30</v>
      </c>
      <c r="B16" s="3"/>
    </row>
    <row r="17" spans="1:9">
      <c r="A17" s="5" t="s">
        <v>21</v>
      </c>
      <c r="B17" s="5" t="s">
        <v>22</v>
      </c>
      <c r="C17" s="5" t="s">
        <v>23</v>
      </c>
      <c r="D17" s="5" t="s">
        <v>31</v>
      </c>
      <c r="E17" s="5" t="s">
        <v>32</v>
      </c>
    </row>
    <row r="18" spans="1:9">
      <c r="A18" s="5" t="s">
        <v>13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digestion_page!B12</f>
        <v>0</v>
      </c>
      <c r="H18" s="10">
        <f>digestion_page!C12</f>
        <v>0</v>
      </c>
      <c r="I18" s="10">
        <f>(LEFT(B18,FIND("/",B18)-1)/RIGHT(B18,LEN(B18)-FIND("/", B18)))</f>
        <v>0</v>
      </c>
    </row>
    <row r="19" spans="1:9">
      <c r="A19" s="5" t="s">
        <v>14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digestion_page!B13</f>
        <v>0</v>
      </c>
      <c r="H19" s="10">
        <f>digestion_page!C13</f>
        <v>0</v>
      </c>
      <c r="I19" s="10">
        <f>(LEFT(B19,FIND("/",B19)-1)/RIGHT(B19,LEN(B19)-FIND("/", B19)))</f>
        <v>0</v>
      </c>
    </row>
    <row r="21" spans="1:9">
      <c r="A21" s="11" t="s">
        <v>33</v>
      </c>
      <c r="B21" s="11"/>
      <c r="C21" s="12">
        <f>AVERAGE(D18:D19)</f>
        <v>0</v>
      </c>
    </row>
    <row r="22" spans="1:9">
      <c r="A22" s="11" t="s">
        <v>33</v>
      </c>
      <c r="B22" s="11"/>
      <c r="C22" s="13">
        <f>AVERAGE(E18:E19)</f>
        <v>0</v>
      </c>
    </row>
    <row r="23" spans="1:9">
      <c r="A23" s="11" t="s">
        <v>34</v>
      </c>
      <c r="B23" s="11"/>
      <c r="C23" s="3"/>
    </row>
    <row r="24" spans="1:9">
      <c r="A24" s="11" t="s">
        <v>35</v>
      </c>
      <c r="B24" s="11"/>
      <c r="C24" s="13">
        <f>AVERAGE(E18:E19)*(C23)</f>
        <v>0</v>
      </c>
    </row>
    <row r="25" spans="1:9">
      <c r="A25" s="11" t="s">
        <v>36</v>
      </c>
      <c r="B25" s="11"/>
      <c r="C25" s="14" t="s">
        <v>38</v>
      </c>
      <c r="D25" s="14"/>
      <c r="E25" s="14"/>
      <c r="F25" s="14"/>
    </row>
    <row r="27" spans="1:9">
      <c r="B27" s="11" t="s">
        <v>39</v>
      </c>
      <c r="C27" s="15"/>
      <c r="D27" s="15"/>
      <c r="E27" s="15"/>
      <c r="F27" s="15"/>
    </row>
    <row r="28" spans="1:9">
      <c r="C28" s="15"/>
      <c r="D28" s="15"/>
      <c r="E28" s="15"/>
      <c r="F28" s="15"/>
    </row>
    <row r="29" spans="1:9">
      <c r="C29" s="15"/>
      <c r="D29" s="15"/>
      <c r="E29" s="15"/>
      <c r="F29" s="15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17" width="7.7109375" customWidth="1"/>
  </cols>
  <sheetData>
    <row r="1" spans="1:9">
      <c r="A1" s="1" t="s">
        <v>0</v>
      </c>
      <c r="B1" s="2">
        <v>46196</v>
      </c>
    </row>
    <row r="2" spans="1:9">
      <c r="A2" s="1" t="s">
        <v>1</v>
      </c>
      <c r="B2" s="3" t="s">
        <v>2</v>
      </c>
    </row>
    <row r="5" spans="1:9">
      <c r="A5" s="3" t="s">
        <v>20</v>
      </c>
      <c r="B5" s="3"/>
    </row>
    <row r="6" spans="1:9">
      <c r="A6" s="5" t="s">
        <v>21</v>
      </c>
      <c r="B6" s="5" t="s">
        <v>22</v>
      </c>
      <c r="C6" s="5" t="s">
        <v>23</v>
      </c>
      <c r="D6" s="5" t="s">
        <v>24</v>
      </c>
      <c r="E6" s="5" t="s">
        <v>25</v>
      </c>
    </row>
    <row r="7" spans="1:9">
      <c r="A7" s="5" t="s">
        <v>15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digestion_page!B14</f>
        <v>0</v>
      </c>
      <c r="H7" s="10">
        <f>digestion_page!C14</f>
        <v>0</v>
      </c>
      <c r="I7" s="10">
        <f>(LEFT(B7,FIND("/",B7)-1)/RIGHT(B7,LEN(B7)-FIND("/", B7)))</f>
        <v>0</v>
      </c>
    </row>
    <row r="8" spans="1:9">
      <c r="A8" s="5" t="s">
        <v>16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digestion_page!B15</f>
        <v>0</v>
      </c>
      <c r="H8" s="10">
        <f>digestion_page!C15</f>
        <v>0</v>
      </c>
      <c r="I8" s="10">
        <f>(LEFT(B8,FIND("/",B8)-1)/RIGHT(B8,LEN(B8)-FIND("/", B8)))</f>
        <v>0</v>
      </c>
    </row>
    <row r="10" spans="1:9">
      <c r="A10" s="11" t="s">
        <v>26</v>
      </c>
      <c r="B10" s="11"/>
      <c r="C10" s="12">
        <f>AVERAGE(D7:D8)</f>
        <v>0</v>
      </c>
    </row>
    <row r="11" spans="1:9">
      <c r="A11" s="11" t="s">
        <v>26</v>
      </c>
      <c r="B11" s="11"/>
      <c r="C11" s="13">
        <f>AVERAGE(E7:E8)</f>
        <v>0</v>
      </c>
    </row>
    <row r="12" spans="1:9">
      <c r="A12" s="11" t="s">
        <v>27</v>
      </c>
      <c r="B12" s="11"/>
      <c r="C12" s="3"/>
    </row>
    <row r="13" spans="1:9">
      <c r="A13" s="11" t="s">
        <v>28</v>
      </c>
      <c r="B13" s="11"/>
      <c r="C13" s="13">
        <f>AVERAGE(E7:E8)*(C12)</f>
        <v>0</v>
      </c>
    </row>
    <row r="14" spans="1:9">
      <c r="A14" s="11" t="s">
        <v>29</v>
      </c>
      <c r="B14" s="11"/>
      <c r="C14" s="14" t="s">
        <v>37</v>
      </c>
      <c r="D14" s="14"/>
      <c r="E14" s="14"/>
      <c r="F14" s="14"/>
    </row>
    <row r="16" spans="1:9">
      <c r="A16" s="3" t="s">
        <v>30</v>
      </c>
      <c r="B16" s="3"/>
    </row>
    <row r="17" spans="1:9">
      <c r="A17" s="5" t="s">
        <v>21</v>
      </c>
      <c r="B17" s="5" t="s">
        <v>22</v>
      </c>
      <c r="C17" s="5" t="s">
        <v>23</v>
      </c>
      <c r="D17" s="5" t="s">
        <v>31</v>
      </c>
      <c r="E17" s="5" t="s">
        <v>32</v>
      </c>
    </row>
    <row r="18" spans="1:9">
      <c r="A18" s="5" t="s">
        <v>15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digestion_page!B14</f>
        <v>0</v>
      </c>
      <c r="H18" s="10">
        <f>digestion_page!C14</f>
        <v>0</v>
      </c>
      <c r="I18" s="10">
        <f>(LEFT(B18,FIND("/",B18)-1)/RIGHT(B18,LEN(B18)-FIND("/", B18)))</f>
        <v>0</v>
      </c>
    </row>
    <row r="19" spans="1:9">
      <c r="A19" s="5" t="s">
        <v>16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digestion_page!B15</f>
        <v>0</v>
      </c>
      <c r="H19" s="10">
        <f>digestion_page!C15</f>
        <v>0</v>
      </c>
      <c r="I19" s="10">
        <f>(LEFT(B19,FIND("/",B19)-1)/RIGHT(B19,LEN(B19)-FIND("/", B19)))</f>
        <v>0</v>
      </c>
    </row>
    <row r="21" spans="1:9">
      <c r="A21" s="11" t="s">
        <v>33</v>
      </c>
      <c r="B21" s="11"/>
      <c r="C21" s="12">
        <f>AVERAGE(D18:D19)</f>
        <v>0</v>
      </c>
    </row>
    <row r="22" spans="1:9">
      <c r="A22" s="11" t="s">
        <v>33</v>
      </c>
      <c r="B22" s="11"/>
      <c r="C22" s="13">
        <f>AVERAGE(E18:E19)</f>
        <v>0</v>
      </c>
    </row>
    <row r="23" spans="1:9">
      <c r="A23" s="11" t="s">
        <v>34</v>
      </c>
      <c r="B23" s="11"/>
      <c r="C23" s="3"/>
    </row>
    <row r="24" spans="1:9">
      <c r="A24" s="11" t="s">
        <v>35</v>
      </c>
      <c r="B24" s="11"/>
      <c r="C24" s="13">
        <f>AVERAGE(E18:E19)*(C23)</f>
        <v>0</v>
      </c>
    </row>
    <row r="25" spans="1:9">
      <c r="A25" s="11" t="s">
        <v>36</v>
      </c>
      <c r="B25" s="11"/>
      <c r="C25" s="14" t="s">
        <v>38</v>
      </c>
      <c r="D25" s="14"/>
      <c r="E25" s="14"/>
      <c r="F25" s="14"/>
    </row>
    <row r="27" spans="1:9">
      <c r="B27" s="11" t="s">
        <v>39</v>
      </c>
      <c r="C27" s="15"/>
      <c r="D27" s="15"/>
      <c r="E27" s="15"/>
      <c r="F27" s="15"/>
    </row>
    <row r="28" spans="1:9">
      <c r="C28" s="15"/>
      <c r="D28" s="15"/>
      <c r="E28" s="15"/>
      <c r="F28" s="15"/>
    </row>
    <row r="29" spans="1:9">
      <c r="C29" s="15"/>
      <c r="D29" s="15"/>
      <c r="E29" s="15"/>
      <c r="F29" s="15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0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28" width="7.7109375" customWidth="1"/>
  </cols>
  <sheetData>
    <row r="1" spans="1:9">
      <c r="A1" s="1" t="s">
        <v>0</v>
      </c>
      <c r="B1" s="2">
        <v>46196</v>
      </c>
    </row>
    <row r="2" spans="1:9">
      <c r="A2" s="1" t="s">
        <v>1</v>
      </c>
      <c r="B2" s="3" t="s">
        <v>2</v>
      </c>
    </row>
    <row r="5" spans="1:9">
      <c r="A5" s="3" t="s">
        <v>20</v>
      </c>
      <c r="B5" s="3"/>
    </row>
    <row r="6" spans="1:9">
      <c r="A6" s="5" t="s">
        <v>21</v>
      </c>
      <c r="B6" s="5" t="s">
        <v>22</v>
      </c>
      <c r="C6" s="5" t="s">
        <v>23</v>
      </c>
      <c r="D6" s="5" t="s">
        <v>24</v>
      </c>
      <c r="E6" s="5" t="s">
        <v>25</v>
      </c>
    </row>
    <row r="7" spans="1:9">
      <c r="A7" s="5" t="s">
        <v>17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digestion_page!B16</f>
        <v>0</v>
      </c>
      <c r="H7" s="10">
        <f>digestion_page!C16</f>
        <v>0</v>
      </c>
      <c r="I7" s="10">
        <f>(LEFT(B7,FIND("/",B7)-1)/RIGHT(B7,LEN(B7)-FIND("/", B7)))</f>
        <v>0</v>
      </c>
    </row>
    <row r="8" spans="1:9">
      <c r="A8" s="5" t="s">
        <v>18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digestion_page!B17</f>
        <v>0</v>
      </c>
      <c r="H8" s="10">
        <f>digestion_page!C17</f>
        <v>0</v>
      </c>
      <c r="I8" s="10">
        <f>(LEFT(B8,FIND("/",B8)-1)/RIGHT(B8,LEN(B8)-FIND("/", B8)))</f>
        <v>0</v>
      </c>
    </row>
    <row r="10" spans="1:9">
      <c r="A10" s="11" t="s">
        <v>26</v>
      </c>
      <c r="B10" s="11"/>
      <c r="C10" s="12">
        <f>AVERAGE(D7:D8)</f>
        <v>0</v>
      </c>
    </row>
    <row r="11" spans="1:9">
      <c r="A11" s="11" t="s">
        <v>26</v>
      </c>
      <c r="B11" s="11"/>
      <c r="C11" s="13">
        <f>AVERAGE(E7:E8)</f>
        <v>0</v>
      </c>
    </row>
    <row r="12" spans="1:9">
      <c r="A12" s="11" t="s">
        <v>27</v>
      </c>
      <c r="B12" s="11"/>
      <c r="C12" s="3"/>
    </row>
    <row r="13" spans="1:9">
      <c r="A13" s="11" t="s">
        <v>28</v>
      </c>
      <c r="B13" s="11"/>
      <c r="C13" s="13">
        <f>AVERAGE(E7:E8)*(C12)</f>
        <v>0</v>
      </c>
    </row>
    <row r="14" spans="1:9">
      <c r="A14" s="11" t="s">
        <v>29</v>
      </c>
      <c r="B14" s="11"/>
      <c r="C14" s="14" t="s">
        <v>37</v>
      </c>
      <c r="D14" s="14"/>
      <c r="E14" s="14"/>
      <c r="F14" s="14"/>
    </row>
    <row r="16" spans="1:9">
      <c r="A16" s="3" t="s">
        <v>30</v>
      </c>
      <c r="B16" s="3"/>
    </row>
    <row r="17" spans="1:9">
      <c r="A17" s="5" t="s">
        <v>21</v>
      </c>
      <c r="B17" s="5" t="s">
        <v>22</v>
      </c>
      <c r="C17" s="5" t="s">
        <v>23</v>
      </c>
      <c r="D17" s="5" t="s">
        <v>31</v>
      </c>
      <c r="E17" s="5" t="s">
        <v>32</v>
      </c>
    </row>
    <row r="18" spans="1:9">
      <c r="A18" s="5" t="s">
        <v>17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digestion_page!B16</f>
        <v>0</v>
      </c>
      <c r="H18" s="10">
        <f>digestion_page!C16</f>
        <v>0</v>
      </c>
      <c r="I18" s="10">
        <f>(LEFT(B18,FIND("/",B18)-1)/RIGHT(B18,LEN(B18)-FIND("/", B18)))</f>
        <v>0</v>
      </c>
    </row>
    <row r="19" spans="1:9">
      <c r="A19" s="5" t="s">
        <v>18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digestion_page!B17</f>
        <v>0</v>
      </c>
      <c r="H19" s="10">
        <f>digestion_page!C17</f>
        <v>0</v>
      </c>
      <c r="I19" s="10">
        <f>(LEFT(B19,FIND("/",B19)-1)/RIGHT(B19,LEN(B19)-FIND("/", B19)))</f>
        <v>0</v>
      </c>
    </row>
    <row r="21" spans="1:9">
      <c r="A21" s="11" t="s">
        <v>33</v>
      </c>
      <c r="B21" s="11"/>
      <c r="C21" s="12">
        <f>AVERAGE(D18:D19)</f>
        <v>0</v>
      </c>
    </row>
    <row r="22" spans="1:9">
      <c r="A22" s="11" t="s">
        <v>33</v>
      </c>
      <c r="B22" s="11"/>
      <c r="C22" s="13">
        <f>AVERAGE(E18:E19)</f>
        <v>0</v>
      </c>
    </row>
    <row r="23" spans="1:9">
      <c r="A23" s="11" t="s">
        <v>34</v>
      </c>
      <c r="B23" s="11"/>
      <c r="C23" s="3"/>
    </row>
    <row r="24" spans="1:9">
      <c r="A24" s="11" t="s">
        <v>35</v>
      </c>
      <c r="B24" s="11"/>
      <c r="C24" s="13">
        <f>AVERAGE(E18:E19)*(C23)</f>
        <v>0</v>
      </c>
    </row>
    <row r="25" spans="1:9">
      <c r="A25" s="11" t="s">
        <v>36</v>
      </c>
      <c r="B25" s="11"/>
      <c r="C25" s="14" t="s">
        <v>38</v>
      </c>
      <c r="D25" s="14"/>
      <c r="E25" s="14"/>
      <c r="F25" s="14"/>
    </row>
    <row r="27" spans="1:9">
      <c r="A27" s="3" t="s">
        <v>40</v>
      </c>
      <c r="B27" s="3"/>
    </row>
    <row r="28" spans="1:9">
      <c r="A28" s="5" t="s">
        <v>21</v>
      </c>
      <c r="B28" s="5" t="s">
        <v>22</v>
      </c>
      <c r="C28" s="5" t="s">
        <v>23</v>
      </c>
      <c r="D28" s="5" t="s">
        <v>41</v>
      </c>
      <c r="E28" s="5" t="s">
        <v>42</v>
      </c>
    </row>
    <row r="29" spans="1:9">
      <c r="A29" s="5" t="s">
        <v>17</v>
      </c>
      <c r="B29" s="6">
        <f>"1/1"</f>
        <v>0</v>
      </c>
      <c r="C29" s="8"/>
      <c r="D29" s="9">
        <f>((C29)*(H29)*(I29))/(G29*1)</f>
        <v>0</v>
      </c>
      <c r="E29" s="9">
        <f>D29/10000</f>
        <v>0</v>
      </c>
      <c r="G29" s="10">
        <f>digestion_page!B25</f>
        <v>0</v>
      </c>
      <c r="H29" s="10">
        <f>digestion_page!C25</f>
        <v>0</v>
      </c>
      <c r="I29" s="10">
        <f>(LEFT(B29,FIND("/",B29)-1)/RIGHT(B29,LEN(B29)-FIND("/", B29)))</f>
        <v>0</v>
      </c>
    </row>
    <row r="30" spans="1:9">
      <c r="A30" s="5" t="s">
        <v>18</v>
      </c>
      <c r="B30" s="6">
        <f>"1/1"</f>
        <v>0</v>
      </c>
      <c r="C30" s="8"/>
      <c r="D30" s="9">
        <f>((C30)*(H30)*(I30))/(G30*1)</f>
        <v>0</v>
      </c>
      <c r="E30" s="9">
        <f>D30/10000</f>
        <v>0</v>
      </c>
      <c r="G30" s="10">
        <f>digestion_page!B26</f>
        <v>0</v>
      </c>
      <c r="H30" s="10">
        <f>digestion_page!C26</f>
        <v>0</v>
      </c>
      <c r="I30" s="10">
        <f>(LEFT(B30,FIND("/",B30)-1)/RIGHT(B30,LEN(B30)-FIND("/", B30)))</f>
        <v>0</v>
      </c>
    </row>
    <row r="32" spans="1:9">
      <c r="A32" s="11" t="s">
        <v>43</v>
      </c>
      <c r="B32" s="11"/>
      <c r="C32" s="12">
        <f>AVERAGE(D29:D30)</f>
        <v>0</v>
      </c>
    </row>
    <row r="33" spans="1:6">
      <c r="A33" s="11" t="s">
        <v>43</v>
      </c>
      <c r="B33" s="11"/>
      <c r="C33" s="13">
        <f>AVERAGE(E29:E30)</f>
        <v>0</v>
      </c>
    </row>
    <row r="34" spans="1:6">
      <c r="A34" s="11" t="s">
        <v>44</v>
      </c>
      <c r="B34" s="11"/>
      <c r="C34" s="3"/>
    </row>
    <row r="35" spans="1:6">
      <c r="A35" s="11" t="s">
        <v>45</v>
      </c>
      <c r="B35" s="11"/>
      <c r="C35" s="13">
        <f>AVERAGE(E29:E30)*(C34)</f>
        <v>0</v>
      </c>
    </row>
    <row r="36" spans="1:6">
      <c r="A36" s="11" t="s">
        <v>46</v>
      </c>
      <c r="B36" s="11"/>
      <c r="C36" s="14" t="s">
        <v>47</v>
      </c>
      <c r="D36" s="14"/>
      <c r="E36" s="14"/>
      <c r="F36" s="14"/>
    </row>
    <row r="38" spans="1:6">
      <c r="B38" s="11" t="s">
        <v>39</v>
      </c>
      <c r="C38" s="15"/>
      <c r="D38" s="15"/>
      <c r="E38" s="15"/>
      <c r="F38" s="15"/>
    </row>
    <row r="39" spans="1:6">
      <c r="C39" s="15"/>
      <c r="D39" s="15"/>
      <c r="E39" s="15"/>
      <c r="F39" s="15"/>
    </row>
    <row r="40" spans="1:6">
      <c r="C40" s="15"/>
      <c r="D40" s="15"/>
      <c r="E40" s="15"/>
      <c r="F40" s="15"/>
    </row>
  </sheetData>
  <mergeCells count="2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C38:F40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48</v>
      </c>
    </row>
    <row r="3" spans="1:1">
      <c r="A3" s="16" t="s">
        <v>49</v>
      </c>
    </row>
    <row r="5" spans="1:1">
      <c r="A5" s="16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200120000</vt:lpstr>
      <vt:lpstr>200120001</vt:lpstr>
      <vt:lpstr>200120002</vt:lpstr>
      <vt:lpstr>200120003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2026-06-23T22:42:28Z</dcterms:created>
  <dcterms:modified xsi:type="dcterms:W3CDTF">2026-06-23T22:42:28Z</dcterms:modified>
</cp:coreProperties>
</file>