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1" sheetId="2" r:id="rId2"/>
    <sheet name="200120002" sheetId="3" r:id="rId3"/>
    <sheet name="formula_page" sheetId="4" r:id="rId4"/>
  </sheets>
  <calcPr calcId="124519" fullCalcOnLoad="1"/>
</workbook>
</file>

<file path=xl/sharedStrings.xml><?xml version="1.0" encoding="utf-8"?>
<sst xmlns="http://schemas.openxmlformats.org/spreadsheetml/2006/main" count="77" uniqueCount="45">
  <si>
    <t>Date:</t>
  </si>
  <si>
    <t>Request ID:</t>
  </si>
  <si>
    <t>100048600</t>
  </si>
  <si>
    <t>Hotplate</t>
  </si>
  <si>
    <t>Analyte(s)</t>
  </si>
  <si>
    <t>Ca</t>
  </si>
  <si>
    <t>SOP#</t>
  </si>
  <si>
    <t>Cocktail</t>
  </si>
  <si>
    <t>sample(s)</t>
  </si>
  <si>
    <t>weight (g)</t>
  </si>
  <si>
    <t>volume (mL)</t>
  </si>
  <si>
    <t>200120001_1</t>
  </si>
  <si>
    <t>200120001_2</t>
  </si>
  <si>
    <t>200120002_1</t>
  </si>
  <si>
    <t>200120002_2</t>
  </si>
  <si>
    <t>LOI temp:</t>
  </si>
  <si>
    <t>sample</t>
  </si>
  <si>
    <t>crucible (g)</t>
  </si>
  <si>
    <t>crucible + sample (g)</t>
  </si>
  <si>
    <t>LOI (%)</t>
  </si>
  <si>
    <t>correction</t>
  </si>
  <si>
    <t>200120001</t>
  </si>
  <si>
    <t>Ca ICP analysis</t>
  </si>
  <si>
    <t>Dilution</t>
  </si>
  <si>
    <t>conc. [mg/L]</t>
  </si>
  <si>
    <t>Ca_ppm [dried]</t>
  </si>
  <si>
    <t>%Ca [dried]</t>
  </si>
  <si>
    <t>ca result:</t>
  </si>
  <si>
    <t>ca oxide factor:</t>
  </si>
  <si>
    <t>ca oxide result:</t>
  </si>
  <si>
    <t>ca lot:</t>
  </si>
  <si>
    <t>Manufacturer: Assurance, 28-35CAY exp: 2026-10-30</t>
  </si>
  <si>
    <t>Note(s):</t>
  </si>
  <si>
    <t>Hello World!</t>
  </si>
  <si>
    <t>200120002</t>
  </si>
  <si>
    <t>ppm M+ = [conc.][volume][dilution]/[weight]</t>
  </si>
  <si>
    <t>%M+ = [conc.][volume][dilution]/([weight]*10,000)</t>
  </si>
  <si>
    <t>%MO = [oxide factor]*%M+</t>
  </si>
  <si>
    <t>A = crucible</t>
  </si>
  <si>
    <t>B = crucible + sample</t>
  </si>
  <si>
    <t>C = crucible + sample after drying</t>
  </si>
  <si>
    <t>%LOI = ([B-A]-[C-A])/(B-A)*100%</t>
  </si>
  <si>
    <t>ppm M+  [dried] = ppm M+/([1-(%LOI)/100])</t>
  </si>
  <si>
    <t>%M+  [dried] = %M+/([1-(%LOI)/100])</t>
  </si>
  <si>
    <t>%MO [dried] = %MO/([1-(%LOI)/100])</t>
  </si>
</sst>
</file>

<file path=xl/styles.xml><?xml version="1.0" encoding="utf-8"?>
<styleSheet xmlns="http://schemas.openxmlformats.org/spreadsheetml/2006/main">
  <numFmts count="7">
    <numFmt numFmtId="164" formatCode="yyyy-mm-dd"/>
    <numFmt numFmtId="165" formatCode="0.0000"/>
    <numFmt numFmtId="166" formatCode="######&quot; °C&quot;"/>
    <numFmt numFmtId="167" formatCode="0.00"/>
    <numFmt numFmtId="168" formatCode="0.000"/>
    <numFmt numFmtId="169" formatCode="0.00&quot; ppm&quot;"/>
    <numFmt numFmtId="170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167" fontId="0" fillId="0" borderId="1" xfId="0" applyNumberFormat="1" applyBorder="1"/>
    <xf numFmtId="168" fontId="0" fillId="0" borderId="1" xfId="0" applyNumberFormat="1" applyBorder="1"/>
    <xf numFmtId="0" fontId="2" fillId="0" borderId="0" xfId="0" applyFont="1"/>
    <xf numFmtId="169" fontId="0" fillId="0" borderId="0" xfId="0" applyNumberFormat="1" applyAlignment="1">
      <alignment horizontal="left"/>
    </xf>
    <xf numFmtId="170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12" bestFit="1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46210</v>
      </c>
    </row>
    <row r="2" spans="1:3">
      <c r="A2" s="1" t="s">
        <v>1</v>
      </c>
      <c r="B2" s="3" t="s">
        <v>2</v>
      </c>
    </row>
    <row r="5" spans="1:3">
      <c r="A5" s="4" t="s">
        <v>3</v>
      </c>
      <c r="B5" s="4"/>
      <c r="C5" s="4"/>
    </row>
    <row r="6" spans="1:3">
      <c r="A6" s="5" t="s">
        <v>4</v>
      </c>
      <c r="B6" s="6" t="s">
        <v>5</v>
      </c>
      <c r="C6" s="6"/>
    </row>
    <row r="7" spans="1:3">
      <c r="A7" s="5" t="s">
        <v>6</v>
      </c>
      <c r="B7" s="6"/>
      <c r="C7" s="6"/>
    </row>
    <row r="8" spans="1:3">
      <c r="A8" s="5" t="s">
        <v>7</v>
      </c>
      <c r="B8" s="6"/>
      <c r="C8" s="6"/>
    </row>
    <row r="9" spans="1:3">
      <c r="A9" s="5" t="s">
        <v>8</v>
      </c>
      <c r="B9" s="5" t="s">
        <v>9</v>
      </c>
      <c r="C9" s="5" t="s">
        <v>10</v>
      </c>
    </row>
    <row r="10" spans="1:3">
      <c r="A10" s="5" t="s">
        <v>11</v>
      </c>
      <c r="B10" s="7"/>
      <c r="C10" s="6"/>
    </row>
    <row r="11" spans="1:3">
      <c r="A11" s="5" t="s">
        <v>12</v>
      </c>
      <c r="B11" s="7"/>
      <c r="C11" s="6"/>
    </row>
    <row r="12" spans="1:3">
      <c r="A12" s="5" t="s">
        <v>13</v>
      </c>
      <c r="B12" s="7"/>
      <c r="C12" s="6"/>
    </row>
    <row r="13" spans="1:3">
      <c r="A13" s="5" t="s">
        <v>14</v>
      </c>
      <c r="B13" s="7"/>
      <c r="C13" s="6"/>
    </row>
  </sheetData>
  <mergeCells count="4">
    <mergeCell ref="A5:C5"/>
    <mergeCell ref="B6:C6"/>
    <mergeCell ref="B7:C7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2"/>
  <sheetViews>
    <sheetView workbookViewId="0"/>
  </sheetViews>
  <sheetFormatPr defaultRowHeight="15"/>
  <cols>
    <col min="1" max="1" width="14.42578125" bestFit="1" customWidth="1"/>
    <col min="2" max="2" width="10.85546875" bestFit="1" customWidth="1"/>
    <col min="3" max="3" width="19.140625" bestFit="1" customWidth="1"/>
    <col min="4" max="4" width="14.7109375" bestFit="1" customWidth="1"/>
    <col min="5" max="5" width="11.28515625" bestFit="1" customWidth="1"/>
    <col min="6" max="6" width="10" bestFit="1" customWidth="1"/>
    <col min="7" max="10" width="7.7109375" customWidth="1"/>
  </cols>
  <sheetData>
    <row r="1" spans="1:9">
      <c r="A1" s="1" t="s">
        <v>0</v>
      </c>
      <c r="B1" s="2">
        <v>46210</v>
      </c>
    </row>
    <row r="2" spans="1:9">
      <c r="A2" s="1" t="s">
        <v>1</v>
      </c>
      <c r="B2" s="3" t="s">
        <v>2</v>
      </c>
    </row>
    <row r="5" spans="1:9">
      <c r="A5" s="8" t="s">
        <v>15</v>
      </c>
      <c r="B5" s="9"/>
    </row>
    <row r="6" spans="1:9">
      <c r="A6" s="5" t="s">
        <v>16</v>
      </c>
      <c r="B6" s="5" t="s">
        <v>17</v>
      </c>
      <c r="C6" s="5" t="s">
        <v>18</v>
      </c>
      <c r="D6" s="5">
        <f>"after "&amp;B5&amp;" °C"</f>
        <v>0</v>
      </c>
      <c r="E6" s="5" t="s">
        <v>19</v>
      </c>
      <c r="F6" s="5" t="s">
        <v>20</v>
      </c>
    </row>
    <row r="7" spans="1:9">
      <c r="A7" s="5" t="s">
        <v>21</v>
      </c>
      <c r="B7" s="7"/>
      <c r="C7" s="7"/>
      <c r="D7" s="7"/>
      <c r="E7" s="10">
        <f>(((C7-B7)-(D7-B7))/(C7-B7))*100</f>
        <v>0</v>
      </c>
      <c r="F7" s="7">
        <f>1-(E7/100)</f>
        <v>0</v>
      </c>
    </row>
    <row r="9" spans="1:9">
      <c r="A9" s="3" t="s">
        <v>22</v>
      </c>
      <c r="B9" s="3"/>
    </row>
    <row r="10" spans="1:9">
      <c r="A10" s="5" t="s">
        <v>16</v>
      </c>
      <c r="B10" s="5" t="s">
        <v>23</v>
      </c>
      <c r="C10" s="5" t="s">
        <v>24</v>
      </c>
      <c r="D10" s="5" t="s">
        <v>25</v>
      </c>
      <c r="E10" s="5" t="s">
        <v>26</v>
      </c>
    </row>
    <row r="11" spans="1:9">
      <c r="A11" s="5" t="s">
        <v>11</v>
      </c>
      <c r="B11" s="6">
        <f>"1/1"</f>
        <v>0</v>
      </c>
      <c r="C11" s="11"/>
      <c r="D11" s="10">
        <f>((C11)*(H11)*(I11))/(G11*$F$7)</f>
        <v>0</v>
      </c>
      <c r="E11" s="10">
        <f>D11/10000</f>
        <v>0</v>
      </c>
      <c r="G11" s="12">
        <f>digestion_page!B10</f>
        <v>0</v>
      </c>
      <c r="H11" s="12">
        <f>digestion_page!C10</f>
        <v>0</v>
      </c>
      <c r="I11" s="12">
        <f>(LEFT(B11,FIND("/",B11)-1)/RIGHT(B11,LEN(B11)-FIND("/", B11)))</f>
        <v>0</v>
      </c>
    </row>
    <row r="12" spans="1:9">
      <c r="A12" s="5" t="s">
        <v>12</v>
      </c>
      <c r="B12" s="6">
        <f>"1/1"</f>
        <v>0</v>
      </c>
      <c r="C12" s="11"/>
      <c r="D12" s="10">
        <f>((C12)*(H12)*(I12))/(G12*$F$7)</f>
        <v>0</v>
      </c>
      <c r="E12" s="10">
        <f>D12/10000</f>
        <v>0</v>
      </c>
      <c r="G12" s="12">
        <f>digestion_page!B11</f>
        <v>0</v>
      </c>
      <c r="H12" s="12">
        <f>digestion_page!C11</f>
        <v>0</v>
      </c>
      <c r="I12" s="12">
        <f>(LEFT(B12,FIND("/",B12)-1)/RIGHT(B12,LEN(B12)-FIND("/", B12)))</f>
        <v>0</v>
      </c>
    </row>
    <row r="14" spans="1:9">
      <c r="A14" s="8" t="s">
        <v>27</v>
      </c>
      <c r="B14" s="8"/>
      <c r="C14" s="13">
        <f>AVERAGE(D11:D12)</f>
        <v>0</v>
      </c>
    </row>
    <row r="15" spans="1:9">
      <c r="A15" s="8" t="s">
        <v>27</v>
      </c>
      <c r="B15" s="8"/>
      <c r="C15" s="14">
        <f>AVERAGE(E11:E12)</f>
        <v>0</v>
      </c>
    </row>
    <row r="16" spans="1:9">
      <c r="A16" s="8" t="s">
        <v>28</v>
      </c>
      <c r="B16" s="8"/>
      <c r="C16" s="3"/>
    </row>
    <row r="17" spans="1:6">
      <c r="A17" s="8" t="s">
        <v>29</v>
      </c>
      <c r="B17" s="8"/>
      <c r="C17" s="14">
        <f>AVERAGE(E11:E12)*(C16)</f>
        <v>0</v>
      </c>
    </row>
    <row r="18" spans="1:6">
      <c r="A18" s="8" t="s">
        <v>30</v>
      </c>
      <c r="B18" s="8"/>
      <c r="C18" s="15" t="s">
        <v>31</v>
      </c>
      <c r="D18" s="15"/>
      <c r="E18" s="15"/>
      <c r="F18" s="15"/>
    </row>
    <row r="20" spans="1:6">
      <c r="B20" s="8" t="s">
        <v>32</v>
      </c>
      <c r="C20" s="16" t="s">
        <v>33</v>
      </c>
      <c r="D20" s="16"/>
      <c r="E20" s="16"/>
      <c r="F20" s="16"/>
    </row>
    <row r="21" spans="1:6">
      <c r="C21" s="16"/>
      <c r="D21" s="16"/>
      <c r="E21" s="16"/>
      <c r="F21" s="16"/>
    </row>
    <row r="22" spans="1:6">
      <c r="C22" s="16"/>
      <c r="D22" s="16"/>
      <c r="E22" s="16"/>
      <c r="F22" s="16"/>
    </row>
  </sheetData>
  <mergeCells count="8">
    <mergeCell ref="A9:B9"/>
    <mergeCell ref="A14:B14"/>
    <mergeCell ref="A15:B15"/>
    <mergeCell ref="A16:B16"/>
    <mergeCell ref="A17:B17"/>
    <mergeCell ref="A18:B18"/>
    <mergeCell ref="C18:F18"/>
    <mergeCell ref="C20:F22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2"/>
  <sheetViews>
    <sheetView workbookViewId="0"/>
  </sheetViews>
  <sheetFormatPr defaultRowHeight="15"/>
  <cols>
    <col min="1" max="1" width="14.42578125" bestFit="1" customWidth="1"/>
    <col min="2" max="2" width="10.85546875" bestFit="1" customWidth="1"/>
    <col min="3" max="3" width="19.140625" bestFit="1" customWidth="1"/>
    <col min="4" max="4" width="14.7109375" bestFit="1" customWidth="1"/>
    <col min="5" max="5" width="11.28515625" bestFit="1" customWidth="1"/>
    <col min="6" max="6" width="10" bestFit="1" customWidth="1"/>
    <col min="7" max="10" width="7.7109375" customWidth="1"/>
  </cols>
  <sheetData>
    <row r="1" spans="1:9">
      <c r="A1" s="1" t="s">
        <v>0</v>
      </c>
      <c r="B1" s="2">
        <v>46210</v>
      </c>
    </row>
    <row r="2" spans="1:9">
      <c r="A2" s="1" t="s">
        <v>1</v>
      </c>
      <c r="B2" s="3" t="s">
        <v>2</v>
      </c>
    </row>
    <row r="5" spans="1:9">
      <c r="A5" s="8" t="s">
        <v>15</v>
      </c>
      <c r="B5" s="9"/>
    </row>
    <row r="6" spans="1:9">
      <c r="A6" s="5" t="s">
        <v>16</v>
      </c>
      <c r="B6" s="5" t="s">
        <v>17</v>
      </c>
      <c r="C6" s="5" t="s">
        <v>18</v>
      </c>
      <c r="D6" s="5">
        <f>"after "&amp;B5&amp;" °C"</f>
        <v>0</v>
      </c>
      <c r="E6" s="5" t="s">
        <v>19</v>
      </c>
      <c r="F6" s="5" t="s">
        <v>20</v>
      </c>
    </row>
    <row r="7" spans="1:9">
      <c r="A7" s="5" t="s">
        <v>34</v>
      </c>
      <c r="B7" s="7"/>
      <c r="C7" s="7"/>
      <c r="D7" s="7"/>
      <c r="E7" s="10">
        <f>(((C7-B7)-(D7-B7))/(C7-B7))*100</f>
        <v>0</v>
      </c>
      <c r="F7" s="7">
        <f>1-(E7/100)</f>
        <v>0</v>
      </c>
    </row>
    <row r="9" spans="1:9">
      <c r="A9" s="3" t="s">
        <v>22</v>
      </c>
      <c r="B9" s="3"/>
    </row>
    <row r="10" spans="1:9">
      <c r="A10" s="5" t="s">
        <v>16</v>
      </c>
      <c r="B10" s="5" t="s">
        <v>23</v>
      </c>
      <c r="C10" s="5" t="s">
        <v>24</v>
      </c>
      <c r="D10" s="5" t="s">
        <v>25</v>
      </c>
      <c r="E10" s="5" t="s">
        <v>26</v>
      </c>
    </row>
    <row r="11" spans="1:9">
      <c r="A11" s="5" t="s">
        <v>13</v>
      </c>
      <c r="B11" s="6">
        <f>"1/1"</f>
        <v>0</v>
      </c>
      <c r="C11" s="11"/>
      <c r="D11" s="10">
        <f>((C11)*(H11)*(I11))/(G11*$F$7)</f>
        <v>0</v>
      </c>
      <c r="E11" s="10">
        <f>D11/10000</f>
        <v>0</v>
      </c>
      <c r="G11" s="12">
        <f>digestion_page!B12</f>
        <v>0</v>
      </c>
      <c r="H11" s="12">
        <f>digestion_page!C12</f>
        <v>0</v>
      </c>
      <c r="I11" s="12">
        <f>(LEFT(B11,FIND("/",B11)-1)/RIGHT(B11,LEN(B11)-FIND("/", B11)))</f>
        <v>0</v>
      </c>
    </row>
    <row r="12" spans="1:9">
      <c r="A12" s="5" t="s">
        <v>14</v>
      </c>
      <c r="B12" s="6">
        <f>"1/1"</f>
        <v>0</v>
      </c>
      <c r="C12" s="11"/>
      <c r="D12" s="10">
        <f>((C12)*(H12)*(I12))/(G12*$F$7)</f>
        <v>0</v>
      </c>
      <c r="E12" s="10">
        <f>D12/10000</f>
        <v>0</v>
      </c>
      <c r="G12" s="12">
        <f>digestion_page!B13</f>
        <v>0</v>
      </c>
      <c r="H12" s="12">
        <f>digestion_page!C13</f>
        <v>0</v>
      </c>
      <c r="I12" s="12">
        <f>(LEFT(B12,FIND("/",B12)-1)/RIGHT(B12,LEN(B12)-FIND("/", B12)))</f>
        <v>0</v>
      </c>
    </row>
    <row r="14" spans="1:9">
      <c r="A14" s="8" t="s">
        <v>27</v>
      </c>
      <c r="B14" s="8"/>
      <c r="C14" s="13">
        <f>AVERAGE(D11:D12)</f>
        <v>0</v>
      </c>
    </row>
    <row r="15" spans="1:9">
      <c r="A15" s="8" t="s">
        <v>27</v>
      </c>
      <c r="B15" s="8"/>
      <c r="C15" s="14">
        <f>AVERAGE(E11:E12)</f>
        <v>0</v>
      </c>
    </row>
    <row r="16" spans="1:9">
      <c r="A16" s="8" t="s">
        <v>28</v>
      </c>
      <c r="B16" s="8"/>
      <c r="C16" s="3"/>
    </row>
    <row r="17" spans="1:6">
      <c r="A17" s="8" t="s">
        <v>29</v>
      </c>
      <c r="B17" s="8"/>
      <c r="C17" s="14">
        <f>AVERAGE(E11:E12)*(C16)</f>
        <v>0</v>
      </c>
    </row>
    <row r="18" spans="1:6">
      <c r="A18" s="8" t="s">
        <v>30</v>
      </c>
      <c r="B18" s="8"/>
      <c r="C18" s="15" t="s">
        <v>31</v>
      </c>
      <c r="D18" s="15"/>
      <c r="E18" s="15"/>
      <c r="F18" s="15"/>
    </row>
    <row r="20" spans="1:6">
      <c r="B20" s="8" t="s">
        <v>32</v>
      </c>
      <c r="C20" s="16" t="s">
        <v>33</v>
      </c>
      <c r="D20" s="16"/>
      <c r="E20" s="16"/>
      <c r="F20" s="16"/>
    </row>
    <row r="21" spans="1:6">
      <c r="C21" s="16"/>
      <c r="D21" s="16"/>
      <c r="E21" s="16"/>
      <c r="F21" s="16"/>
    </row>
    <row r="22" spans="1:6">
      <c r="C22" s="16"/>
      <c r="D22" s="16"/>
      <c r="E22" s="16"/>
      <c r="F22" s="16"/>
    </row>
  </sheetData>
  <mergeCells count="8">
    <mergeCell ref="A9:B9"/>
    <mergeCell ref="A14:B14"/>
    <mergeCell ref="A15:B15"/>
    <mergeCell ref="A16:B16"/>
    <mergeCell ref="A17:B17"/>
    <mergeCell ref="A18:B18"/>
    <mergeCell ref="C18:F18"/>
    <mergeCell ref="C20:F22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17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35</v>
      </c>
    </row>
    <row r="3" spans="1:1">
      <c r="A3" s="17" t="s">
        <v>36</v>
      </c>
    </row>
    <row r="5" spans="1:1">
      <c r="A5" s="17" t="s">
        <v>37</v>
      </c>
    </row>
    <row r="7" spans="1:1">
      <c r="A7" s="17" t="s">
        <v>38</v>
      </c>
    </row>
    <row r="8" spans="1:1">
      <c r="A8" s="17" t="s">
        <v>39</v>
      </c>
    </row>
    <row r="9" spans="1:1">
      <c r="A9" s="17" t="s">
        <v>40</v>
      </c>
    </row>
    <row r="11" spans="1:1">
      <c r="A11" s="17" t="s">
        <v>41</v>
      </c>
    </row>
    <row r="13" spans="1:1">
      <c r="A13" s="17" t="s">
        <v>42</v>
      </c>
    </row>
    <row r="15" spans="1:1">
      <c r="A15" s="17" t="s">
        <v>43</v>
      </c>
    </row>
    <row r="17" spans="1:1">
      <c r="A17" s="1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200120001</vt:lpstr>
      <vt:lpstr>200120002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2026-07-07T05:59:23Z</dcterms:created>
  <dcterms:modified xsi:type="dcterms:W3CDTF">2026-07-07T05:59:23Z</dcterms:modified>
</cp:coreProperties>
</file>