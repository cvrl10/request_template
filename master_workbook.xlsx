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<sst xmlns="http://schemas.openxmlformats.org/spreadsheetml/2006/main" count="73" uniqueCount="43">
  <si>
    <t>Date:</t>
  </si>
  <si>
    <t>Request ID:</t>
  </si>
  <si>
    <t>100048600</t>
  </si>
  <si>
    <t>Hotplate</t>
  </si>
  <si>
    <t>Analyte(s)</t>
  </si>
  <si>
    <t>Mn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</si>
  <si>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</si>
  <si>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</si>
  <si>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</si>
  <si>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</si>
  <si>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</si>
  <si>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</si>
  <si>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</si>
  <si>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</si>
  <si>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</si>
  <si>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</si>
  <si>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</si>
  <si>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</si>
  <si>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</si>
  <si>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</si>
  <si>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</si>
  <si>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</si>
  <si>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Mn ICP analysis</t>
  </si>
  <si>
    <t>Dilution</t>
  </si>
  <si>
    <t>conc. [mg/L]</t>
  </si>
  <si>
    <t>Mn_ppm [dried]</t>
  </si>
  <si>
    <t>%Mn [dried]</t>
  </si>
  <si>
    <t>mn result:</t>
  </si>
  <si>
    <t>mn oxide factor:</t>
  </si>
  <si>
    <t>mn oxide result:</t>
  </si>
  <si>
    <t>mn lot:</t>
  </si>
  <si>
    <t>Note(s):</t>
  </si>
  <si>
    <t>200120002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</si>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</sst>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46208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2" spans="1:3">
      <c r="A12" s="5" t="s">
        <v>13</v>
      </c>
      <c r="B12" s="7"/>
      <c r="C12" s="6"/>
    </row>
    <row r="13" spans="1:3">
      <c r="A13" s="5" t="s">
        <v>14</v>
      </c>
      <c r="B13" s="7"/>
      <c r="C13" s="6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1" width="15.42578125" bestFit="1" customWidth="1"/>
    <col min="2" max="2" width="10.85546875" bestFit="1" customWidth="1"/>
    <col min="3" max="3" width="19.140625" bestFit="1" customWidth="1"/>
    <col min="4" max="4" width="15.42578125" bestFit="1" customWidth="1"/>
    <col min="5" max="5" width="12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46208</v>
      </c>
    </row>
    <row r="2" spans="1:9">
      <c r="A2" s="1" t="s">
        <v>1</v>
      </c>
      <c r="B2" s="3" t="s">
        <v>2</v>
      </c>
    </row>
    <row r="5" spans="1:9">
      <c r="A5" s="8" t="s">
        <v>15</v>
      </c>
      <c r="B5" s="9"/>
    </row>
    <row r="6" spans="1:9">
      <c r="A6" s="5" t="s">
        <v>16</v>
      </c>
      <c r="B6" s="5" t="s">
        <v>17</v>
      </c>
      <c r="C6" s="5" t="s">
        <v>18</v>
      </c>
      <c r="D6" s="5">
        <f>"after "&amp;B5&amp;" °C"</f>
        <v>0</v>
      </c>
      <c r="E6" s="5" t="s">
        <v>19</v>
      </c>
      <c r="F6" s="5" t="s">
        <v>20</v>
      </c>
    </row>
    <row r="7" spans="1:9">
      <c r="A7" s="5" t="s">
        <v>21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22</v>
      </c>
      <c r="B9" s="3"/>
    </row>
    <row r="10" spans="1:9">
      <c r="A10" s="5" t="s">
        <v>16</v>
      </c>
      <c r="B10" s="5" t="s">
        <v>23</v>
      </c>
      <c r="C10" s="5" t="s">
        <v>24</v>
      </c>
      <c r="D10" s="5" t="s">
        <v>25</v>
      </c>
      <c r="E10" s="5" t="s">
        <v>26</v>
      </c>
    </row>
    <row r="11" spans="1:9">
      <c r="A11" s="5" t="s">
        <v>11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digestion_page!B10</f>
        <v>0</v>
      </c>
      <c r="H11" s="12">
        <f>digestion_page!C10</f>
        <v>0</v>
      </c>
      <c r="I11" s="12">
        <f>(LEFT(B11,FIND("/",B11)-1)/RIGHT(B11,LEN(B11)-FIND("/", B11)))</f>
        <v>0</v>
      </c>
    </row>
    <row r="12" spans="1:9">
      <c r="A12" s="5" t="s">
        <v>12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digestion_page!B11</f>
        <v>0</v>
      </c>
      <c r="H12" s="12">
        <f>digestion_page!C11</f>
        <v>0</v>
      </c>
      <c r="I12" s="12">
        <f>(LEFT(B12,FIND("/",B12)-1)/RIGHT(B12,LEN(B12)-FIND("/", B12)))</f>
        <v>0</v>
      </c>
    </row>
    <row r="14" spans="1:9">
      <c r="A14" s="8" t="s">
        <v>27</v>
      </c>
      <c r="B14" s="8"/>
      <c r="C14" s="13">
        <f>AVERAGE(D11:D12)</f>
        <v>0</v>
      </c>
    </row>
    <row r="15" spans="1:9">
      <c r="A15" s="8" t="s">
        <v>27</v>
      </c>
      <c r="B15" s="8"/>
      <c r="C15" s="14">
        <f>AVERAGE(E11:E12)</f>
        <v>0</v>
      </c>
    </row>
    <row r="16" spans="1:9">
      <c r="A16" s="8" t="s">
        <v>28</v>
      </c>
      <c r="B16" s="8"/>
      <c r="C16" s="3"/>
    </row>
    <row r="17" spans="1:6">
      <c r="A17" s="8" t="s">
        <v>29</v>
      </c>
      <c r="B17" s="8"/>
      <c r="C17" s="14">
        <f>AVERAGE(E11:E12)*(C16)</f>
        <v>0</v>
      </c>
    </row>
    <row r="18" spans="1:6">
      <c r="A18" s="8" t="s">
        <v>30</v>
      </c>
      <c r="B18" s="8"/>
      <c r="C18" s="15"/>
      <c r="D18" s="15"/>
      <c r="E18" s="15"/>
      <c r="F18" s="15"/>
    </row>
    <row r="20" spans="1:6">
      <c r="B20" s="8" t="s">
        <v>31</v>
      </c>
      <c r="C20" s="16"/>
      <c r="D20" s="16"/>
      <c r="E20" s="16"/>
      <c r="F20" s="16"/>
    </row>
    <row r="21" spans="1:6">
      <c r="C21" s="16"/>
      <c r="D21" s="16"/>
      <c r="E21" s="16"/>
      <c r="F21" s="16"/>
    </row>
    <row r="22" spans="1:6">
      <c r="C22" s="16"/>
      <c r="D22" s="16"/>
      <c r="E22" s="16"/>
      <c r="F22" s="16"/>
    </row>
  </sheetData>
  <mergeCells count="8">
    <mergeCell ref="A9:B9"/>
    <mergeCell ref="A14:B14"/>
    <mergeCell ref="A15:B15"/>
    <mergeCell ref="A16:B16"/>
    <mergeCell ref="A17:B17"/>
    <mergeCell ref="A18:B18"/>
    <mergeCell ref="C18:F18"/>
    <mergeCell ref="C20:F2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1" width="15.42578125" bestFit="1" customWidth="1"/>
    <col min="2" max="2" width="10.85546875" bestFit="1" customWidth="1"/>
    <col min="3" max="3" width="19.140625" bestFit="1" customWidth="1"/>
    <col min="4" max="4" width="15.42578125" bestFit="1" customWidth="1"/>
    <col min="5" max="5" width="12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46208</v>
      </c>
    </row>
    <row r="2" spans="1:9">
      <c r="A2" s="1" t="s">
        <v>1</v>
      </c>
      <c r="B2" s="3" t="s">
        <v>2</v>
      </c>
    </row>
    <row r="5" spans="1:9">
      <c r="A5" s="8" t="s">
        <v>15</v>
      </c>
      <c r="B5" s="9"/>
    </row>
    <row r="6" spans="1:9">
      <c r="A6" s="5" t="s">
        <v>16</v>
      </c>
      <c r="B6" s="5" t="s">
        <v>17</v>
      </c>
      <c r="C6" s="5" t="s">
        <v>18</v>
      </c>
      <c r="D6" s="5">
        <f>"after "&amp;B5&amp;" °C"</f>
        <v>0</v>
      </c>
      <c r="E6" s="5" t="s">
        <v>19</v>
      </c>
      <c r="F6" s="5" t="s">
        <v>20</v>
      </c>
    </row>
    <row r="7" spans="1:9">
      <c r="A7" s="5" t="s">
        <v>32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22</v>
      </c>
      <c r="B9" s="3"/>
    </row>
    <row r="10" spans="1:9">
      <c r="A10" s="5" t="s">
        <v>16</v>
      </c>
      <c r="B10" s="5" t="s">
        <v>23</v>
      </c>
      <c r="C10" s="5" t="s">
        <v>24</v>
      </c>
      <c r="D10" s="5" t="s">
        <v>25</v>
      </c>
      <c r="E10" s="5" t="s">
        <v>26</v>
      </c>
    </row>
    <row r="11" spans="1:9">
      <c r="A11" s="5" t="s">
        <v>13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digestion_page!B12</f>
        <v>0</v>
      </c>
      <c r="H11" s="12">
        <f>digestion_page!C12</f>
        <v>0</v>
      </c>
      <c r="I11" s="12">
        <f>(LEFT(B11,FIND("/",B11)-1)/RIGHT(B11,LEN(B11)-FIND("/", B11)))</f>
        <v>0</v>
      </c>
    </row>
    <row r="12" spans="1:9">
      <c r="A12" s="5" t="s">
        <v>14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digestion_page!B13</f>
        <v>0</v>
      </c>
      <c r="H12" s="12">
        <f>digestion_page!C13</f>
        <v>0</v>
      </c>
      <c r="I12" s="12">
        <f>(LEFT(B12,FIND("/",B12)-1)/RIGHT(B12,LEN(B12)-FIND("/", B12)))</f>
        <v>0</v>
      </c>
    </row>
    <row r="14" spans="1:9">
      <c r="A14" s="8" t="s">
        <v>27</v>
      </c>
      <c r="B14" s="8"/>
      <c r="C14" s="13">
        <f>AVERAGE(D11:D12)</f>
        <v>0</v>
      </c>
    </row>
    <row r="15" spans="1:9">
      <c r="A15" s="8" t="s">
        <v>27</v>
      </c>
      <c r="B15" s="8"/>
      <c r="C15" s="14">
        <f>AVERAGE(E11:E12)</f>
        <v>0</v>
      </c>
    </row>
    <row r="16" spans="1:9">
      <c r="A16" s="8" t="s">
        <v>28</v>
      </c>
      <c r="B16" s="8"/>
      <c r="C16" s="3"/>
    </row>
    <row r="17" spans="1:6">
      <c r="A17" s="8" t="s">
        <v>29</v>
      </c>
      <c r="B17" s="8"/>
      <c r="C17" s="14">
        <f>AVERAGE(E11:E12)*(C16)</f>
        <v>0</v>
      </c>
    </row>
    <row r="18" spans="1:6">
      <c r="A18" s="8" t="s">
        <v>30</v>
      </c>
      <c r="B18" s="8"/>
      <c r="C18" s="15"/>
      <c r="D18" s="15"/>
      <c r="E18" s="15"/>
      <c r="F18" s="15"/>
    </row>
    <row r="20" spans="1:6">
      <c r="B20" s="8" t="s">
        <v>31</v>
      </c>
      <c r="C20" s="16"/>
      <c r="D20" s="16"/>
      <c r="E20" s="16"/>
      <c r="F20" s="16"/>
    </row>
    <row r="21" spans="1:6">
      <c r="C21" s="16"/>
      <c r="D21" s="16"/>
      <c r="E21" s="16"/>
      <c r="F21" s="16"/>
    </row>
    <row r="22" spans="1:6">
      <c r="C22" s="16"/>
      <c r="D22" s="16"/>
      <c r="E22" s="16"/>
      <c r="F22" s="16"/>
    </row>
  </sheetData>
  <mergeCells count="8">
    <mergeCell ref="A9:B9"/>
    <mergeCell ref="A14:B14"/>
    <mergeCell ref="A15:B15"/>
    <mergeCell ref="A16:B16"/>
    <mergeCell ref="A17:B17"/>
    <mergeCell ref="A18:B18"/>
    <mergeCell ref="C18:F18"/>
    <mergeCell ref="C20:F2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33</v>
      </c>
    </row>
    <row r="3" spans="1:1">
      <c r="A3" s="17" t="s">
        <v>34</v>
      </c>
    </row>
    <row r="5" spans="1:1">
      <c r="A5" s="17" t="s">
        <v>35</v>
      </c>
    </row>
    <row r="7" spans="1:1">
      <c r="A7" s="17" t="s">
        <v>36</v>
      </c>
    </row>
    <row r="8" spans="1:1">
      <c r="A8" s="17" t="s">
        <v>37</v>
      </c>
    </row>
    <row r="9" spans="1:1">
      <c r="A9" s="17" t="s">
        <v>38</v>
      </c>
    </row>
    <row r="11" spans="1:1">
      <c r="A11" s="17" t="s">
        <v>39</v>
      </c>
    </row>
    <row r="13" spans="1:1">
      <c r="A13" s="17" t="s">
        <v>40</v>
      </c>
    </row>
    <row r="15" spans="1:1">
      <c r="A15" s="17" t="s">
        <v>41</v>
      </c>
    </row>
    <row r="17" spans="1:1">
      <c r="A17" s="17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2026-07-05T23:11:25Z</dcterms:created>
  <dcterms:modified xsi:type="dcterms:W3CDTF">2026-07-05T23:11:25Z</dcterms:modified>
</cp:coreProperties>
</file>