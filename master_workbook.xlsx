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0" sheetId="2" r:id="rId2"/>
    <sheet name="200120001" sheetId="3" r:id="rId3"/>
    <sheet name="200120002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<sst xmlns="http://schemas.openxmlformats.org/spreadsheetml/2006/main" count="126" uniqueCount="48">
  <si>
    <t>Date:</t>
  </si>
  <si>
    <t>Request ID: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</si>
  <si>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</si>
  <si>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</si>
  <si>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</si>
  <si>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</si>
  <si>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</si>
  <si>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</si>
  <si>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</si>
  <si>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</si>
  <si>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</si>
  <si>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</si>
  <si>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</si>
  <si>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</si>
  <si>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</si>
  <si>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</si>
  <si>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</si>
  <si>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</si>
  <si>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200120000_1</t>
  </si>
  <si>
    <t>200120000_2</t>
  </si>
  <si>
    <t>200120001_1</t>
  </si>
  <si>
    <t>200120001_2</t>
  </si>
  <si>
    <t>200120002_1</t>
  </si>
  <si>
    <t>200120002_2</t>
  </si>
  <si>
    <t>Cu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</si>
  <si>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</si>
  <si>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</si>
  <si>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</si>
  <si>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</si>
  <si>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</si>
  <si>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</si>
  <si>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</si>
  <si>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</si>
  <si>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</si>
  <si>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</si>
  <si>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Cu ICP analysis</t>
  </si>
  <si>
    <t>Cu_ppm</t>
  </si>
  <si>
    <t>%Cu</t>
  </si>
  <si>
    <t>cu result:</t>
  </si>
  <si>
    <t>cu oxide factor:</t>
  </si>
  <si>
    <t>cu oxide result:</t>
  </si>
  <si>
    <t>cu lot:</t>
  </si>
  <si>
    <t>Manufacturer: Assurance, 28-35CAY exp: 2026-10-30</t>
  </si>
  <si>
    <t>Manufacturer: Assurance, 28-83CUT exp: 2026-09-30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</si>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</sst>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0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46171</v>
      </c>
    </row>
    <row r="2" spans="1:5">
      <c r="A2" s="1" t="s">
        <v>1</v>
      </c>
      <c r="B2" s="3"/>
    </row>
    <row r="5" spans="1:5">
      <c r="A5" s="4" t="s">
        <v>2</v>
      </c>
      <c r="B5" s="4"/>
      <c r="C5" s="4"/>
      <c r="D5" s="4"/>
      <c r="E5" s="4"/>
    </row>
    <row r="6" spans="1:5">
      <c r="A6" s="5" t="s">
        <v>3</v>
      </c>
      <c r="B6" s="6" t="s">
        <v>4</v>
      </c>
      <c r="C6" s="6"/>
      <c r="D6" s="6"/>
      <c r="E6" s="6"/>
    </row>
    <row r="7" spans="1:5">
      <c r="A7" s="5" t="s">
        <v>5</v>
      </c>
      <c r="B7" s="6"/>
      <c r="C7" s="6"/>
      <c r="D7" s="6"/>
      <c r="E7" s="6"/>
    </row>
    <row r="8" spans="1:5">
      <c r="A8" s="5" t="s">
        <v>6</v>
      </c>
      <c r="B8" s="6"/>
      <c r="C8" s="6"/>
      <c r="D8" s="6"/>
      <c r="E8" s="6"/>
    </row>
    <row r="9" spans="1:5">
      <c r="A9" s="5" t="s">
        <v>7</v>
      </c>
      <c r="B9" s="7"/>
      <c r="C9" s="7"/>
      <c r="D9" s="7"/>
      <c r="E9" s="7"/>
    </row>
    <row r="10" spans="1:5">
      <c r="A10" s="5" t="s">
        <v>8</v>
      </c>
      <c r="B10" s="6"/>
      <c r="C10" s="6"/>
      <c r="D10" s="6"/>
      <c r="E10" s="6"/>
    </row>
    <row r="11" spans="1:5">
      <c r="A11" s="5" t="s">
        <v>9</v>
      </c>
      <c r="B11" s="7"/>
      <c r="C11" s="7"/>
      <c r="D11" s="7"/>
      <c r="E11" s="7"/>
    </row>
    <row r="12" spans="1:5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15</v>
      </c>
      <c r="B16" s="5" t="s">
        <v>16</v>
      </c>
      <c r="C16" s="5" t="s">
        <v>17</v>
      </c>
    </row>
    <row r="17" spans="1:5">
      <c r="A17" s="5" t="s">
        <v>18</v>
      </c>
      <c r="B17" s="8"/>
      <c r="C17" s="6"/>
    </row>
    <row r="18" spans="1:5">
      <c r="A18" s="5" t="s">
        <v>19</v>
      </c>
      <c r="B18" s="8"/>
      <c r="C18" s="6"/>
    </row>
    <row r="19" spans="1:5">
      <c r="A19" s="5" t="s">
        <v>20</v>
      </c>
      <c r="B19" s="8"/>
      <c r="C19" s="6"/>
    </row>
    <row r="20" spans="1:5">
      <c r="A20" s="5" t="s">
        <v>21</v>
      </c>
      <c r="B20" s="8"/>
      <c r="C20" s="6"/>
    </row>
    <row r="21" spans="1:5">
      <c r="A21" s="5" t="s">
        <v>22</v>
      </c>
      <c r="B21" s="8"/>
      <c r="C21" s="6"/>
    </row>
    <row r="22" spans="1:5">
      <c r="A22" s="5" t="s">
        <v>23</v>
      </c>
      <c r="B22" s="8"/>
      <c r="C22" s="6"/>
    </row>
    <row r="25" spans="1:5">
      <c r="A25" s="4" t="s">
        <v>2</v>
      </c>
      <c r="B25" s="4"/>
      <c r="C25" s="4"/>
      <c r="D25" s="4"/>
      <c r="E25" s="4"/>
    </row>
    <row r="26" spans="1:5">
      <c r="A26" s="5" t="s">
        <v>3</v>
      </c>
      <c r="B26" s="6" t="s">
        <v>24</v>
      </c>
      <c r="C26" s="6"/>
      <c r="D26" s="6"/>
      <c r="E26" s="6"/>
    </row>
    <row r="27" spans="1:5">
      <c r="A27" s="5" t="s">
        <v>5</v>
      </c>
      <c r="B27" s="6"/>
      <c r="C27" s="6"/>
      <c r="D27" s="6"/>
      <c r="E27" s="6"/>
    </row>
    <row r="28" spans="1:5">
      <c r="A28" s="5" t="s">
        <v>6</v>
      </c>
      <c r="B28" s="6"/>
      <c r="C28" s="6"/>
      <c r="D28" s="6"/>
      <c r="E28" s="6"/>
    </row>
    <row r="29" spans="1:5">
      <c r="A29" s="5" t="s">
        <v>7</v>
      </c>
      <c r="B29" s="7"/>
      <c r="C29" s="7"/>
      <c r="D29" s="7"/>
      <c r="E29" s="7"/>
    </row>
    <row r="30" spans="1:5">
      <c r="A30" s="5" t="s">
        <v>8</v>
      </c>
      <c r="B30" s="6"/>
      <c r="C30" s="6"/>
      <c r="D30" s="6"/>
      <c r="E30" s="6"/>
    </row>
    <row r="31" spans="1:5">
      <c r="A31" s="5" t="s">
        <v>9</v>
      </c>
      <c r="B31" s="7"/>
      <c r="C31" s="7"/>
      <c r="D31" s="7"/>
      <c r="E31" s="7"/>
    </row>
    <row r="32" spans="1:5">
      <c r="A32" s="5" t="s">
        <v>10</v>
      </c>
      <c r="B32" s="5" t="s">
        <v>11</v>
      </c>
      <c r="C32" s="5" t="s">
        <v>12</v>
      </c>
      <c r="D32" s="5" t="s">
        <v>13</v>
      </c>
      <c r="E32" s="5" t="s">
        <v>14</v>
      </c>
    </row>
    <row r="33" spans="1:5">
      <c r="A33" s="6">
        <v>15</v>
      </c>
      <c r="B33" s="6">
        <v>1200</v>
      </c>
      <c r="C33" s="6">
        <v>180</v>
      </c>
      <c r="D33" s="6">
        <v>65</v>
      </c>
      <c r="E33" s="6">
        <v>110</v>
      </c>
    </row>
    <row r="34" spans="1:5">
      <c r="A34" s="6">
        <v>15</v>
      </c>
      <c r="B34" s="6">
        <v>1500</v>
      </c>
      <c r="C34" s="6">
        <v>240</v>
      </c>
      <c r="D34" s="6">
        <v>65</v>
      </c>
      <c r="E34" s="6">
        <v>110</v>
      </c>
    </row>
    <row r="35" spans="1:5">
      <c r="A35" s="6"/>
      <c r="B35" s="6"/>
      <c r="C35" s="6"/>
      <c r="D35" s="6"/>
      <c r="E35" s="6"/>
    </row>
    <row r="36" spans="1:5">
      <c r="A36" s="5" t="s">
        <v>15</v>
      </c>
      <c r="B36" s="5" t="s">
        <v>16</v>
      </c>
      <c r="C36" s="5" t="s">
        <v>17</v>
      </c>
    </row>
    <row r="37" spans="1:5">
      <c r="A37" s="5" t="s">
        <v>18</v>
      </c>
      <c r="B37" s="8"/>
      <c r="C37" s="6"/>
    </row>
    <row r="38" spans="1:5">
      <c r="A38" s="5" t="s">
        <v>19</v>
      </c>
      <c r="B38" s="8"/>
      <c r="C38" s="6"/>
    </row>
    <row r="39" spans="1:5">
      <c r="A39" s="5" t="s">
        <v>22</v>
      </c>
      <c r="B39" s="8"/>
      <c r="C39" s="6"/>
    </row>
    <row r="40" spans="1:5">
      <c r="A40" s="5" t="s">
        <v>23</v>
      </c>
      <c r="B40" s="8"/>
      <c r="C40" s="6"/>
    </row>
  </sheetData>
  <mergeCells count="14">
    <mergeCell ref="A5:E5"/>
    <mergeCell ref="B6:E6"/>
    <mergeCell ref="B7:E7"/>
    <mergeCell ref="B8:E8"/>
    <mergeCell ref="B9:E9"/>
    <mergeCell ref="B10:E10"/>
    <mergeCell ref="B11:E11"/>
    <mergeCell ref="A25:E25"/>
    <mergeCell ref="B26:E26"/>
    <mergeCell ref="B27:E27"/>
    <mergeCell ref="B28:E28"/>
    <mergeCell ref="B29:E29"/>
    <mergeCell ref="B30:E30"/>
    <mergeCell ref="B31:E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17" width="7.7109375" customWidth="1"/>
  </cols>
  <sheetData>
    <row r="1" spans="1:9">
      <c r="A1" s="1" t="s">
        <v>0</v>
      </c>
      <c r="B1" s="2">
        <v>46171</v>
      </c>
    </row>
    <row r="2" spans="1:9">
      <c r="A2" s="1" t="s">
        <v>1</v>
      </c>
      <c r="B2" s="3"/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18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19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A16" s="3" t="s">
        <v>35</v>
      </c>
      <c r="B16" s="3"/>
    </row>
    <row r="17" spans="1:9">
      <c r="A17" s="5" t="s">
        <v>26</v>
      </c>
      <c r="B17" s="5" t="s">
        <v>27</v>
      </c>
      <c r="C17" s="5" t="s">
        <v>28</v>
      </c>
      <c r="D17" s="5" t="s">
        <v>36</v>
      </c>
      <c r="E17" s="5" t="s">
        <v>37</v>
      </c>
    </row>
    <row r="18" spans="1:9">
      <c r="A18" s="5" t="s">
        <v>18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digestion_page!B37</f>
        <v>0</v>
      </c>
      <c r="H18" s="11">
        <f>digestion_page!C37</f>
        <v>0</v>
      </c>
      <c r="I18" s="11">
        <f>(LEFT(B18,FIND("/",B18)-1)/RIGHT(B18,LEN(B18)-FIND("/", B18)))</f>
        <v>0</v>
      </c>
    </row>
    <row r="19" spans="1:9">
      <c r="A19" s="5" t="s">
        <v>19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digestion_page!B38</f>
        <v>0</v>
      </c>
      <c r="H19" s="11">
        <f>digestion_page!C38</f>
        <v>0</v>
      </c>
      <c r="I19" s="11">
        <f>(LEFT(B19,FIND("/",B19)-1)/RIGHT(B19,LEN(B19)-FIND("/", B19)))</f>
        <v>0</v>
      </c>
    </row>
    <row r="21" spans="1:9">
      <c r="A21" s="12" t="s">
        <v>38</v>
      </c>
      <c r="B21" s="12"/>
      <c r="C21" s="13">
        <f>AVERAGE(D18:D19)</f>
        <v>0</v>
      </c>
    </row>
    <row r="22" spans="1:9">
      <c r="A22" s="12" t="s">
        <v>38</v>
      </c>
      <c r="B22" s="12"/>
      <c r="C22" s="14">
        <f>AVERAGE(E18:E19)</f>
        <v>0</v>
      </c>
    </row>
    <row r="23" spans="1:9">
      <c r="A23" s="12" t="s">
        <v>39</v>
      </c>
      <c r="B23" s="12"/>
      <c r="C23" s="3"/>
    </row>
    <row r="24" spans="1:9">
      <c r="A24" s="12" t="s">
        <v>40</v>
      </c>
      <c r="B24" s="12"/>
      <c r="C24" s="14">
        <f>AVERAGE(E18:E19)*(C23)</f>
        <v>0</v>
      </c>
    </row>
    <row r="25" spans="1:9">
      <c r="A25" s="12" t="s">
        <v>41</v>
      </c>
      <c r="B25" s="12"/>
      <c r="C25" s="15" t="s">
        <v>43</v>
      </c>
      <c r="D25" s="15"/>
      <c r="E25" s="15"/>
      <c r="F25" s="15"/>
    </row>
    <row r="27" spans="1:9">
      <c r="B27" s="12" t="s">
        <v>44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46171</v>
      </c>
    </row>
    <row r="2" spans="1:9">
      <c r="A2" s="1" t="s">
        <v>1</v>
      </c>
      <c r="B2" s="3"/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20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21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B16" s="12" t="s">
        <v>44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17" width="7.7109375" customWidth="1"/>
  </cols>
  <sheetData>
    <row r="1" spans="1:9">
      <c r="A1" s="1" t="s">
        <v>0</v>
      </c>
      <c r="B1" s="2">
        <v>46171</v>
      </c>
    </row>
    <row r="2" spans="1:9">
      <c r="A2" s="1" t="s">
        <v>1</v>
      </c>
      <c r="B2" s="3"/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22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5" t="s">
        <v>23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A16" s="3" t="s">
        <v>35</v>
      </c>
      <c r="B16" s="3"/>
    </row>
    <row r="17" spans="1:9">
      <c r="A17" s="5" t="s">
        <v>26</v>
      </c>
      <c r="B17" s="5" t="s">
        <v>27</v>
      </c>
      <c r="C17" s="5" t="s">
        <v>28</v>
      </c>
      <c r="D17" s="5" t="s">
        <v>36</v>
      </c>
      <c r="E17" s="5" t="s">
        <v>37</v>
      </c>
    </row>
    <row r="18" spans="1:9">
      <c r="A18" s="5" t="s">
        <v>22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digestion_page!B39</f>
        <v>0</v>
      </c>
      <c r="H18" s="11">
        <f>digestion_page!C39</f>
        <v>0</v>
      </c>
      <c r="I18" s="11">
        <f>(LEFT(B18,FIND("/",B18)-1)/RIGHT(B18,LEN(B18)-FIND("/", B18)))</f>
        <v>0</v>
      </c>
    </row>
    <row r="19" spans="1:9">
      <c r="A19" s="5" t="s">
        <v>23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digestion_page!B40</f>
        <v>0</v>
      </c>
      <c r="H19" s="11">
        <f>digestion_page!C40</f>
        <v>0</v>
      </c>
      <c r="I19" s="11">
        <f>(LEFT(B19,FIND("/",B19)-1)/RIGHT(B19,LEN(B19)-FIND("/", B19)))</f>
        <v>0</v>
      </c>
    </row>
    <row r="21" spans="1:9">
      <c r="A21" s="12" t="s">
        <v>38</v>
      </c>
      <c r="B21" s="12"/>
      <c r="C21" s="13">
        <f>AVERAGE(D18:D19)</f>
        <v>0</v>
      </c>
    </row>
    <row r="22" spans="1:9">
      <c r="A22" s="12" t="s">
        <v>38</v>
      </c>
      <c r="B22" s="12"/>
      <c r="C22" s="14">
        <f>AVERAGE(E18:E19)</f>
        <v>0</v>
      </c>
    </row>
    <row r="23" spans="1:9">
      <c r="A23" s="12" t="s">
        <v>39</v>
      </c>
      <c r="B23" s="12"/>
      <c r="C23" s="3"/>
    </row>
    <row r="24" spans="1:9">
      <c r="A24" s="12" t="s">
        <v>40</v>
      </c>
      <c r="B24" s="12"/>
      <c r="C24" s="14">
        <f>AVERAGE(E18:E19)*(C23)</f>
        <v>0</v>
      </c>
    </row>
    <row r="25" spans="1:9">
      <c r="A25" s="12" t="s">
        <v>41</v>
      </c>
      <c r="B25" s="12"/>
      <c r="C25" s="15" t="s">
        <v>43</v>
      </c>
      <c r="D25" s="15"/>
      <c r="E25" s="15"/>
      <c r="F25" s="15"/>
    </row>
    <row r="27" spans="1:9">
      <c r="B27" s="12" t="s">
        <v>44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45</v>
      </c>
    </row>
    <row r="3" spans="1:1">
      <c r="A3" s="17" t="s">
        <v>46</v>
      </c>
    </row>
    <row r="5" spans="1:1">
      <c r="A5" s="17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200120000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2026-05-29T20:02:24Z</dcterms:created>
  <dcterms:modified xsi:type="dcterms:W3CDTF">2026-05-29T20:02:24Z</dcterms:modified>
</cp:coreProperties>
</file>