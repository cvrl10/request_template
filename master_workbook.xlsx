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a\clariant\request_template\"/>
    </mc:Choice>
  </mc:AlternateContent>
  <xr:revisionPtr revIDLastSave="0" documentId="13_ncr:1_{ADCDE052-F63A-4378-8E79-74660D5554A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igestion_page" sheetId="1" r:id="rId1"/>
    <sheet name="200118339" sheetId="2" r:id="rId2"/>
    <sheet name="200118340" sheetId="3" r:id="rId3"/>
    <sheet name="200118341" sheetId="4" r:id="rId4"/>
    <sheet name="formula_pag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4" l="1"/>
  <c r="G12" i="4"/>
  <c r="B12" i="4"/>
  <c r="I12" i="4" s="1"/>
  <c r="H11" i="4"/>
  <c r="G11" i="4"/>
  <c r="B11" i="4"/>
  <c r="I11" i="4" s="1"/>
  <c r="D11" i="4" s="1"/>
  <c r="E7" i="4"/>
  <c r="F7" i="4" s="1"/>
  <c r="D6" i="4"/>
  <c r="E7" i="3"/>
  <c r="F7" i="3" s="1"/>
  <c r="D6" i="3"/>
  <c r="I12" i="2"/>
  <c r="H12" i="2"/>
  <c r="G12" i="2"/>
  <c r="B12" i="2"/>
  <c r="H11" i="2"/>
  <c r="G11" i="2"/>
  <c r="B11" i="2"/>
  <c r="I11" i="2" s="1"/>
  <c r="E7" i="2"/>
  <c r="F7" i="2" s="1"/>
  <c r="D6" i="2"/>
  <c r="E11" i="4" l="1"/>
  <c r="C14" i="4"/>
  <c r="D12" i="4"/>
  <c r="E12" i="4" s="1"/>
  <c r="D12" i="2"/>
  <c r="E12" i="2" s="1"/>
  <c r="D11" i="2"/>
  <c r="C15" i="4" l="1"/>
  <c r="C17" i="4"/>
  <c r="C14" i="2"/>
  <c r="E11" i="2"/>
  <c r="C15" i="2" l="1"/>
  <c r="C17" i="2"/>
</calcChain>
</file>

<file path=xl/sharedStrings.xml><?xml version="1.0" encoding="utf-8"?>
<sst xmlns="http://schemas.openxmlformats.org/spreadsheetml/2006/main" count="99" uniqueCount="51">
  <si>
    <t>Date:</t>
  </si>
  <si>
    <t>Request ID:</t>
  </si>
  <si>
    <t>TEST</t>
  </si>
  <si>
    <t>Hotplate</t>
  </si>
  <si>
    <t>Element(s)</t>
  </si>
  <si>
    <t>LOI</t>
  </si>
  <si>
    <t>SOP#</t>
  </si>
  <si>
    <t>Cocktail</t>
  </si>
  <si>
    <t>sample(s)</t>
  </si>
  <si>
    <t>weight (g)</t>
  </si>
  <si>
    <t>volume (mL)</t>
  </si>
  <si>
    <t>200118340_1</t>
  </si>
  <si>
    <t>200118340_2</t>
  </si>
  <si>
    <t>Ca</t>
  </si>
  <si>
    <t>200118339_1</t>
  </si>
  <si>
    <t>200118339_2</t>
  </si>
  <si>
    <t>200118341_1</t>
  </si>
  <si>
    <t>200118341_2</t>
  </si>
  <si>
    <t>LOI temp:</t>
  </si>
  <si>
    <t>sample</t>
  </si>
  <si>
    <t>crucible (g)</t>
  </si>
  <si>
    <t>crucible + sample (g)</t>
  </si>
  <si>
    <t>LOI (%)</t>
  </si>
  <si>
    <t>correction</t>
  </si>
  <si>
    <t>200118339</t>
  </si>
  <si>
    <t>Ca ICP analysis</t>
  </si>
  <si>
    <t>Dilution</t>
  </si>
  <si>
    <t>conc. [mg/L]</t>
  </si>
  <si>
    <t>Ca_ppm [dried]</t>
  </si>
  <si>
    <t>%Ca [dried]</t>
  </si>
  <si>
    <t>ca result:</t>
  </si>
  <si>
    <t>ca oxide factor:</t>
  </si>
  <si>
    <t>ca oxide result:</t>
  </si>
  <si>
    <t>ca lot:</t>
  </si>
  <si>
    <t>Manufacturer: Assurance, 28-35CAY exp: 2026-10-30</t>
  </si>
  <si>
    <t>Note(s):</t>
  </si>
  <si>
    <t>200118340</t>
  </si>
  <si>
    <t>200118341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</si>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</sst>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"/>
    <numFmt numFmtId="166" formatCode="######&quot; °C&quot;"/>
    <numFmt numFmtId="167" formatCode="0.000"/>
    <numFmt numFmtId="168" formatCode="0.00&quot; ppm&quot;"/>
    <numFmt numFmtId="169" formatCode="0.00&quot; %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2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5"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workbookViewId="0"/>
  </sheetViews>
  <sheetFormatPr defaultRowHeight="14.4" x14ac:dyDescent="0.3"/>
  <cols>
    <col min="1" max="1" width="12" bestFit="1" customWidth="1"/>
    <col min="2" max="2" width="10.6640625" bestFit="1" customWidth="1"/>
    <col min="3" max="3" width="12.109375" bestFit="1" customWidth="1"/>
  </cols>
  <sheetData>
    <row r="1" spans="1:3" x14ac:dyDescent="0.3">
      <c r="A1" s="1" t="s">
        <v>0</v>
      </c>
      <c r="B1" s="2">
        <v>46166</v>
      </c>
    </row>
    <row r="2" spans="1:3" x14ac:dyDescent="0.3">
      <c r="A2" s="1" t="s">
        <v>1</v>
      </c>
      <c r="B2" s="3" t="s">
        <v>2</v>
      </c>
    </row>
    <row r="5" spans="1:3" x14ac:dyDescent="0.3">
      <c r="A5" s="15" t="s">
        <v>3</v>
      </c>
      <c r="B5" s="15"/>
      <c r="C5" s="15"/>
    </row>
    <row r="6" spans="1:3" x14ac:dyDescent="0.3">
      <c r="A6" s="4" t="s">
        <v>4</v>
      </c>
      <c r="B6" s="16" t="s">
        <v>5</v>
      </c>
      <c r="C6" s="16"/>
    </row>
    <row r="7" spans="1:3" x14ac:dyDescent="0.3">
      <c r="A7" s="4" t="s">
        <v>6</v>
      </c>
      <c r="B7" s="16"/>
      <c r="C7" s="16"/>
    </row>
    <row r="8" spans="1:3" x14ac:dyDescent="0.3">
      <c r="A8" s="4" t="s">
        <v>7</v>
      </c>
      <c r="B8" s="16"/>
      <c r="C8" s="16"/>
    </row>
    <row r="9" spans="1:3" x14ac:dyDescent="0.3">
      <c r="A9" s="4" t="s">
        <v>8</v>
      </c>
      <c r="B9" s="4" t="s">
        <v>9</v>
      </c>
      <c r="C9" s="4" t="s">
        <v>10</v>
      </c>
    </row>
    <row r="10" spans="1:3" x14ac:dyDescent="0.3">
      <c r="A10" s="4" t="s">
        <v>11</v>
      </c>
      <c r="B10" s="6"/>
      <c r="C10" s="5"/>
    </row>
    <row r="11" spans="1:3" x14ac:dyDescent="0.3">
      <c r="A11" s="4" t="s">
        <v>12</v>
      </c>
      <c r="B11" s="6"/>
      <c r="C11" s="5"/>
    </row>
    <row r="14" spans="1:3" x14ac:dyDescent="0.3">
      <c r="A14" s="15" t="s">
        <v>3</v>
      </c>
      <c r="B14" s="15"/>
      <c r="C14" s="15"/>
    </row>
    <row r="15" spans="1:3" x14ac:dyDescent="0.3">
      <c r="A15" s="4" t="s">
        <v>4</v>
      </c>
      <c r="B15" s="16" t="s">
        <v>13</v>
      </c>
      <c r="C15" s="16"/>
    </row>
    <row r="16" spans="1:3" x14ac:dyDescent="0.3">
      <c r="A16" s="4" t="s">
        <v>6</v>
      </c>
      <c r="B16" s="16"/>
      <c r="C16" s="16"/>
    </row>
    <row r="17" spans="1:3" x14ac:dyDescent="0.3">
      <c r="A17" s="4" t="s">
        <v>7</v>
      </c>
      <c r="B17" s="16"/>
      <c r="C17" s="16"/>
    </row>
    <row r="18" spans="1:3" x14ac:dyDescent="0.3">
      <c r="A18" s="4" t="s">
        <v>8</v>
      </c>
      <c r="B18" s="4" t="s">
        <v>9</v>
      </c>
      <c r="C18" s="4" t="s">
        <v>10</v>
      </c>
    </row>
    <row r="19" spans="1:3" x14ac:dyDescent="0.3">
      <c r="A19" s="4" t="s">
        <v>14</v>
      </c>
      <c r="B19" s="6"/>
      <c r="C19" s="5"/>
    </row>
    <row r="20" spans="1:3" x14ac:dyDescent="0.3">
      <c r="A20" s="4" t="s">
        <v>15</v>
      </c>
      <c r="B20" s="6"/>
      <c r="C20" s="5"/>
    </row>
    <row r="21" spans="1:3" x14ac:dyDescent="0.3">
      <c r="A21" s="4" t="s">
        <v>16</v>
      </c>
      <c r="B21" s="6"/>
      <c r="C21" s="5"/>
    </row>
    <row r="22" spans="1:3" x14ac:dyDescent="0.3">
      <c r="A22" s="4" t="s">
        <v>17</v>
      </c>
      <c r="B22" s="6"/>
      <c r="C22" s="5"/>
    </row>
  </sheetData>
  <mergeCells count="8">
    <mergeCell ref="B15:C15"/>
    <mergeCell ref="B16:C16"/>
    <mergeCell ref="B17:C17"/>
    <mergeCell ref="A5:C5"/>
    <mergeCell ref="B6:C6"/>
    <mergeCell ref="B7:C7"/>
    <mergeCell ref="B8:C8"/>
    <mergeCell ref="A14:C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"/>
  <sheetViews>
    <sheetView workbookViewId="0">
      <selection activeCell="B6" sqref="B6"/>
    </sheetView>
  </sheetViews>
  <sheetFormatPr defaultRowHeight="14.4" x14ac:dyDescent="0.3"/>
  <cols>
    <col min="1" max="1" width="12" bestFit="1" customWidth="1"/>
    <col min="2" max="2" width="10.88671875" bestFit="1" customWidth="1"/>
    <col min="3" max="3" width="19.109375" bestFit="1" customWidth="1"/>
    <col min="4" max="4" width="14.6640625" bestFit="1" customWidth="1"/>
    <col min="5" max="5" width="11.33203125" bestFit="1" customWidth="1"/>
    <col min="6" max="6" width="10" bestFit="1" customWidth="1"/>
  </cols>
  <sheetData>
    <row r="1" spans="1:9" x14ac:dyDescent="0.3">
      <c r="A1" s="1" t="s">
        <v>0</v>
      </c>
      <c r="B1" s="2">
        <v>46166</v>
      </c>
    </row>
    <row r="2" spans="1:9" x14ac:dyDescent="0.3">
      <c r="A2" s="1" t="s">
        <v>1</v>
      </c>
      <c r="B2" s="3" t="s">
        <v>2</v>
      </c>
    </row>
    <row r="5" spans="1:9" x14ac:dyDescent="0.3">
      <c r="A5" s="7" t="s">
        <v>18</v>
      </c>
      <c r="B5" s="8">
        <v>900</v>
      </c>
    </row>
    <row r="6" spans="1:9" x14ac:dyDescent="0.3">
      <c r="A6" s="4" t="s">
        <v>19</v>
      </c>
      <c r="B6" s="4" t="s">
        <v>20</v>
      </c>
      <c r="C6" s="4" t="s">
        <v>21</v>
      </c>
      <c r="D6" s="4" t="str">
        <f>"after "&amp;B5&amp;" °C"</f>
        <v>after 900 °C</v>
      </c>
      <c r="E6" s="4" t="s">
        <v>22</v>
      </c>
      <c r="F6" s="4" t="s">
        <v>23</v>
      </c>
    </row>
    <row r="7" spans="1:9" x14ac:dyDescent="0.3">
      <c r="A7" s="4" t="s">
        <v>24</v>
      </c>
      <c r="B7" s="5"/>
      <c r="C7" s="5"/>
      <c r="D7" s="5"/>
      <c r="E7" s="9" t="e">
        <f>(((C7-B7)-(D7-B7))/(C7-B7))*100</f>
        <v>#DIV/0!</v>
      </c>
      <c r="F7" s="6" t="e">
        <f>1-(E7/100)</f>
        <v>#DIV/0!</v>
      </c>
    </row>
    <row r="9" spans="1:9" x14ac:dyDescent="0.3">
      <c r="A9" s="17" t="s">
        <v>25</v>
      </c>
      <c r="B9" s="17"/>
    </row>
    <row r="10" spans="1:9" x14ac:dyDescent="0.3">
      <c r="A10" s="4" t="s">
        <v>19</v>
      </c>
      <c r="B10" s="4" t="s">
        <v>26</v>
      </c>
      <c r="C10" s="4" t="s">
        <v>27</v>
      </c>
      <c r="D10" s="4" t="s">
        <v>28</v>
      </c>
      <c r="E10" s="4" t="s">
        <v>29</v>
      </c>
    </row>
    <row r="11" spans="1:9" x14ac:dyDescent="0.3">
      <c r="A11" s="4" t="s">
        <v>14</v>
      </c>
      <c r="B11" s="5" t="str">
        <f>"1/1"</f>
        <v>1/1</v>
      </c>
      <c r="C11" s="10"/>
      <c r="D11" s="9" t="e">
        <f>((C11)*(H11)*(I11))/(G11*$F$7)</f>
        <v>#DIV/0!</v>
      </c>
      <c r="E11" s="9" t="e">
        <f>D11/10000</f>
        <v>#DIV/0!</v>
      </c>
      <c r="G11" s="11">
        <f>digestion_page!B19</f>
        <v>0</v>
      </c>
      <c r="H11" s="11">
        <f>digestion_page!C19</f>
        <v>0</v>
      </c>
      <c r="I11" s="11">
        <f>(LEFT(B11,FIND("/",B11)-1)/RIGHT(B11,LEN(B11)-FIND("/", B11)))</f>
        <v>1</v>
      </c>
    </row>
    <row r="12" spans="1:9" x14ac:dyDescent="0.3">
      <c r="A12" s="4" t="s">
        <v>15</v>
      </c>
      <c r="B12" s="5" t="str">
        <f>"1/1"</f>
        <v>1/1</v>
      </c>
      <c r="C12" s="10"/>
      <c r="D12" s="9" t="e">
        <f>((C12)*(H12)*(I12))/(G12*$F$7)</f>
        <v>#DIV/0!</v>
      </c>
      <c r="E12" s="9" t="e">
        <f>D12/10000</f>
        <v>#DIV/0!</v>
      </c>
      <c r="G12" s="11">
        <f>digestion_page!B20</f>
        <v>0</v>
      </c>
      <c r="H12" s="11">
        <f>digestion_page!C20</f>
        <v>0</v>
      </c>
      <c r="I12" s="11">
        <f>(LEFT(B12,FIND("/",B12)-1)/RIGHT(B12,LEN(B12)-FIND("/", B12)))</f>
        <v>1</v>
      </c>
    </row>
    <row r="14" spans="1:9" x14ac:dyDescent="0.3">
      <c r="A14" s="18" t="s">
        <v>30</v>
      </c>
      <c r="B14" s="18"/>
      <c r="C14" s="12" t="e">
        <f>AVERAGE(D11:D12)</f>
        <v>#DIV/0!</v>
      </c>
    </row>
    <row r="15" spans="1:9" x14ac:dyDescent="0.3">
      <c r="A15" s="18" t="s">
        <v>30</v>
      </c>
      <c r="B15" s="18"/>
      <c r="C15" s="13" t="e">
        <f>AVERAGE(E11:E12)</f>
        <v>#DIV/0!</v>
      </c>
    </row>
    <row r="16" spans="1:9" x14ac:dyDescent="0.3">
      <c r="A16" s="18" t="s">
        <v>31</v>
      </c>
      <c r="B16" s="18"/>
      <c r="C16" s="3"/>
    </row>
    <row r="17" spans="1:6" x14ac:dyDescent="0.3">
      <c r="A17" s="18" t="s">
        <v>32</v>
      </c>
      <c r="B17" s="18"/>
      <c r="C17" s="13" t="e">
        <f>AVERAGE(E11:E12)*(C16)</f>
        <v>#DIV/0!</v>
      </c>
    </row>
    <row r="18" spans="1:6" x14ac:dyDescent="0.3">
      <c r="A18" s="18" t="s">
        <v>33</v>
      </c>
      <c r="B18" s="18"/>
      <c r="C18" s="19" t="s">
        <v>34</v>
      </c>
      <c r="D18" s="19"/>
      <c r="E18" s="19"/>
      <c r="F18" s="19"/>
    </row>
    <row r="20" spans="1:6" x14ac:dyDescent="0.3">
      <c r="B20" s="7" t="s">
        <v>35</v>
      </c>
      <c r="C20" s="20"/>
      <c r="D20" s="20"/>
      <c r="E20" s="20"/>
      <c r="F20" s="20"/>
    </row>
    <row r="21" spans="1:6" x14ac:dyDescent="0.3">
      <c r="C21" s="20"/>
      <c r="D21" s="20"/>
      <c r="E21" s="20"/>
      <c r="F21" s="20"/>
    </row>
    <row r="22" spans="1:6" x14ac:dyDescent="0.3">
      <c r="C22" s="20"/>
      <c r="D22" s="20"/>
      <c r="E22" s="20"/>
      <c r="F22" s="20"/>
    </row>
  </sheetData>
  <mergeCells count="8">
    <mergeCell ref="A18:B18"/>
    <mergeCell ref="C18:F18"/>
    <mergeCell ref="C20:F22"/>
    <mergeCell ref="A9:B9"/>
    <mergeCell ref="A14:B14"/>
    <mergeCell ref="A15:B15"/>
    <mergeCell ref="A16:B16"/>
    <mergeCell ref="A17:B17"/>
  </mergeCells>
  <conditionalFormatting sqref="B5">
    <cfRule type="containsBlanks" dxfId="4" priority="1">
      <formula>LEN(TRIM(B5))=0</formula>
    </cfRule>
  </conditionalFormatting>
  <conditionalFormatting sqref="C18:F18">
    <cfRule type="containsBlanks" dxfId="3" priority="2">
      <formula>LEN(TRIM(C18))=0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activeCell="B6" sqref="B6"/>
    </sheetView>
  </sheetViews>
  <sheetFormatPr defaultRowHeight="14.4" x14ac:dyDescent="0.3"/>
  <cols>
    <col min="1" max="1" width="10.5546875" bestFit="1" customWidth="1"/>
    <col min="2" max="2" width="10.88671875" bestFit="1" customWidth="1"/>
    <col min="3" max="3" width="19.109375" bestFit="1" customWidth="1"/>
    <col min="4" max="4" width="10.6640625" bestFit="1" customWidth="1"/>
    <col min="5" max="5" width="7.33203125" bestFit="1" customWidth="1"/>
    <col min="6" max="6" width="10" bestFit="1" customWidth="1"/>
  </cols>
  <sheetData>
    <row r="1" spans="1:6" x14ac:dyDescent="0.3">
      <c r="A1" s="1" t="s">
        <v>0</v>
      </c>
      <c r="B1" s="2">
        <v>46166</v>
      </c>
    </row>
    <row r="2" spans="1:6" x14ac:dyDescent="0.3">
      <c r="A2" s="1" t="s">
        <v>1</v>
      </c>
      <c r="B2" s="3" t="s">
        <v>2</v>
      </c>
    </row>
    <row r="5" spans="1:6" x14ac:dyDescent="0.3">
      <c r="A5" s="7" t="s">
        <v>18</v>
      </c>
      <c r="B5" s="8">
        <v>900</v>
      </c>
    </row>
    <row r="6" spans="1:6" x14ac:dyDescent="0.3">
      <c r="A6" s="4" t="s">
        <v>19</v>
      </c>
      <c r="B6" s="4" t="s">
        <v>20</v>
      </c>
      <c r="C6" s="4" t="s">
        <v>21</v>
      </c>
      <c r="D6" s="4" t="str">
        <f>"after "&amp;B5&amp;" °C"</f>
        <v>after 900 °C</v>
      </c>
      <c r="E6" s="4" t="s">
        <v>22</v>
      </c>
      <c r="F6" s="4" t="s">
        <v>23</v>
      </c>
    </row>
    <row r="7" spans="1:6" x14ac:dyDescent="0.3">
      <c r="A7" s="4" t="s">
        <v>36</v>
      </c>
      <c r="B7" s="5"/>
      <c r="C7" s="5"/>
      <c r="D7" s="5"/>
      <c r="E7" s="9" t="e">
        <f>(((C7-B7)-(D7-B7))/(C7-B7))*100</f>
        <v>#DIV/0!</v>
      </c>
      <c r="F7" s="6" t="e">
        <f>1-(E7/100)</f>
        <v>#DIV/0!</v>
      </c>
    </row>
    <row r="9" spans="1:6" x14ac:dyDescent="0.3">
      <c r="B9" s="7" t="s">
        <v>35</v>
      </c>
      <c r="C9" s="20"/>
      <c r="D9" s="20"/>
      <c r="E9" s="20"/>
      <c r="F9" s="20"/>
    </row>
    <row r="10" spans="1:6" x14ac:dyDescent="0.3">
      <c r="C10" s="20"/>
      <c r="D10" s="20"/>
      <c r="E10" s="20"/>
      <c r="F10" s="20"/>
    </row>
    <row r="11" spans="1:6" x14ac:dyDescent="0.3">
      <c r="C11" s="20"/>
      <c r="D11" s="20"/>
      <c r="E11" s="20"/>
      <c r="F11" s="20"/>
    </row>
  </sheetData>
  <mergeCells count="1">
    <mergeCell ref="C9:F11"/>
  </mergeCells>
  <conditionalFormatting sqref="B5">
    <cfRule type="containsBlanks" dxfId="2" priority="1">
      <formula>LEN(TRIM(B5))=0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tabSelected="1" workbookViewId="0">
      <selection activeCell="B6" sqref="B6"/>
    </sheetView>
  </sheetViews>
  <sheetFormatPr defaultRowHeight="14.4" x14ac:dyDescent="0.3"/>
  <cols>
    <col min="1" max="1" width="12" bestFit="1" customWidth="1"/>
    <col min="2" max="2" width="10.88671875" bestFit="1" customWidth="1"/>
    <col min="3" max="3" width="19.109375" bestFit="1" customWidth="1"/>
    <col min="4" max="4" width="14.6640625" bestFit="1" customWidth="1"/>
    <col min="5" max="5" width="11.33203125" bestFit="1" customWidth="1"/>
    <col min="6" max="6" width="10" bestFit="1" customWidth="1"/>
  </cols>
  <sheetData>
    <row r="1" spans="1:9" x14ac:dyDescent="0.3">
      <c r="A1" s="1" t="s">
        <v>0</v>
      </c>
      <c r="B1" s="2">
        <v>46166</v>
      </c>
    </row>
    <row r="2" spans="1:9" x14ac:dyDescent="0.3">
      <c r="A2" s="1" t="s">
        <v>1</v>
      </c>
      <c r="B2" s="3" t="s">
        <v>2</v>
      </c>
    </row>
    <row r="5" spans="1:9" x14ac:dyDescent="0.3">
      <c r="A5" s="7" t="s">
        <v>18</v>
      </c>
      <c r="B5" s="8">
        <v>900</v>
      </c>
    </row>
    <row r="6" spans="1:9" x14ac:dyDescent="0.3">
      <c r="A6" s="4" t="s">
        <v>19</v>
      </c>
      <c r="B6" s="4" t="s">
        <v>20</v>
      </c>
      <c r="C6" s="4" t="s">
        <v>21</v>
      </c>
      <c r="D6" s="4" t="str">
        <f>"after "&amp;B5&amp;" °C"</f>
        <v>after 900 °C</v>
      </c>
      <c r="E6" s="4" t="s">
        <v>22</v>
      </c>
      <c r="F6" s="4" t="s">
        <v>23</v>
      </c>
    </row>
    <row r="7" spans="1:9" x14ac:dyDescent="0.3">
      <c r="A7" s="4" t="s">
        <v>37</v>
      </c>
      <c r="B7" s="5"/>
      <c r="C7" s="5"/>
      <c r="D7" s="5"/>
      <c r="E7" s="9" t="e">
        <f>(((C7-B7)-(D7-B7))/(C7-B7))*100</f>
        <v>#DIV/0!</v>
      </c>
      <c r="F7" s="6" t="e">
        <f>1-(E7/100)</f>
        <v>#DIV/0!</v>
      </c>
    </row>
    <row r="9" spans="1:9" x14ac:dyDescent="0.3">
      <c r="A9" s="17" t="s">
        <v>25</v>
      </c>
      <c r="B9" s="17"/>
    </row>
    <row r="10" spans="1:9" x14ac:dyDescent="0.3">
      <c r="A10" s="4" t="s">
        <v>19</v>
      </c>
      <c r="B10" s="4" t="s">
        <v>26</v>
      </c>
      <c r="C10" s="4" t="s">
        <v>27</v>
      </c>
      <c r="D10" s="4" t="s">
        <v>28</v>
      </c>
      <c r="E10" s="4" t="s">
        <v>29</v>
      </c>
    </row>
    <row r="11" spans="1:9" x14ac:dyDescent="0.3">
      <c r="A11" s="4" t="s">
        <v>16</v>
      </c>
      <c r="B11" s="5" t="str">
        <f>"1/1"</f>
        <v>1/1</v>
      </c>
      <c r="C11" s="10"/>
      <c r="D11" s="9" t="e">
        <f>((C11)*(H11)*(I11))/(G11*$F$7)</f>
        <v>#DIV/0!</v>
      </c>
      <c r="E11" s="9" t="e">
        <f>D11/10000</f>
        <v>#DIV/0!</v>
      </c>
      <c r="G11" s="11">
        <f>digestion_page!B21</f>
        <v>0</v>
      </c>
      <c r="H11" s="11">
        <f>digestion_page!C21</f>
        <v>0</v>
      </c>
      <c r="I11" s="11">
        <f>(LEFT(B11,FIND("/",B11)-1)/RIGHT(B11,LEN(B11)-FIND("/", B11)))</f>
        <v>1</v>
      </c>
    </row>
    <row r="12" spans="1:9" x14ac:dyDescent="0.3">
      <c r="A12" s="4" t="s">
        <v>17</v>
      </c>
      <c r="B12" s="5" t="str">
        <f>"1/1"</f>
        <v>1/1</v>
      </c>
      <c r="C12" s="10"/>
      <c r="D12" s="9" t="e">
        <f>((C12)*(H12)*(I12))/(G12*$F$7)</f>
        <v>#DIV/0!</v>
      </c>
      <c r="E12" s="9" t="e">
        <f>D12/10000</f>
        <v>#DIV/0!</v>
      </c>
      <c r="G12" s="11">
        <f>digestion_page!B22</f>
        <v>0</v>
      </c>
      <c r="H12" s="11">
        <f>digestion_page!C22</f>
        <v>0</v>
      </c>
      <c r="I12" s="11">
        <f>(LEFT(B12,FIND("/",B12)-1)/RIGHT(B12,LEN(B12)-FIND("/", B12)))</f>
        <v>1</v>
      </c>
    </row>
    <row r="14" spans="1:9" x14ac:dyDescent="0.3">
      <c r="A14" s="18" t="s">
        <v>30</v>
      </c>
      <c r="B14" s="18"/>
      <c r="C14" s="12" t="e">
        <f>AVERAGE(D11:D12)</f>
        <v>#DIV/0!</v>
      </c>
    </row>
    <row r="15" spans="1:9" x14ac:dyDescent="0.3">
      <c r="A15" s="18" t="s">
        <v>30</v>
      </c>
      <c r="B15" s="18"/>
      <c r="C15" s="13" t="e">
        <f>AVERAGE(E11:E12)</f>
        <v>#DIV/0!</v>
      </c>
    </row>
    <row r="16" spans="1:9" x14ac:dyDescent="0.3">
      <c r="A16" s="18" t="s">
        <v>31</v>
      </c>
      <c r="B16" s="18"/>
      <c r="C16" s="3"/>
    </row>
    <row r="17" spans="1:6" x14ac:dyDescent="0.3">
      <c r="A17" s="18" t="s">
        <v>32</v>
      </c>
      <c r="B17" s="18"/>
      <c r="C17" s="13" t="e">
        <f>AVERAGE(E11:E12)*(C16)</f>
        <v>#DIV/0!</v>
      </c>
    </row>
    <row r="18" spans="1:6" x14ac:dyDescent="0.3">
      <c r="A18" s="18" t="s">
        <v>33</v>
      </c>
      <c r="B18" s="18"/>
      <c r="C18" s="19" t="s">
        <v>34</v>
      </c>
      <c r="D18" s="19"/>
      <c r="E18" s="19"/>
      <c r="F18" s="19"/>
    </row>
    <row r="20" spans="1:6" x14ac:dyDescent="0.3">
      <c r="B20" s="7" t="s">
        <v>35</v>
      </c>
      <c r="C20" s="20"/>
      <c r="D20" s="20"/>
      <c r="E20" s="20"/>
      <c r="F20" s="20"/>
    </row>
    <row r="21" spans="1:6" x14ac:dyDescent="0.3">
      <c r="C21" s="20"/>
      <c r="D21" s="20"/>
      <c r="E21" s="20"/>
      <c r="F21" s="20"/>
    </row>
    <row r="22" spans="1:6" x14ac:dyDescent="0.3">
      <c r="C22" s="20"/>
      <c r="D22" s="20"/>
      <c r="E22" s="20"/>
      <c r="F22" s="20"/>
    </row>
  </sheetData>
  <mergeCells count="8">
    <mergeCell ref="A18:B18"/>
    <mergeCell ref="C18:F18"/>
    <mergeCell ref="C20:F22"/>
    <mergeCell ref="A9:B9"/>
    <mergeCell ref="A14:B14"/>
    <mergeCell ref="A15:B15"/>
    <mergeCell ref="A16:B16"/>
    <mergeCell ref="A17:B17"/>
  </mergeCells>
  <conditionalFormatting sqref="B5">
    <cfRule type="containsBlanks" dxfId="1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3"/>
  <sheetViews>
    <sheetView workbookViewId="0"/>
  </sheetViews>
  <sheetFormatPr defaultRowHeight="14.4" x14ac:dyDescent="0.3"/>
  <cols>
    <col min="1" max="1" width="46.109375" bestFit="1" customWidth="1"/>
  </cols>
  <sheetData>
    <row r="1" spans="1:1" x14ac:dyDescent="0.3">
      <c r="A1" s="14" t="s">
        <v>38</v>
      </c>
    </row>
    <row r="2" spans="1:1" x14ac:dyDescent="0.3">
      <c r="A2" s="14" t="s">
        <v>39</v>
      </c>
    </row>
    <row r="3" spans="1:1" x14ac:dyDescent="0.3">
      <c r="A3" s="14" t="s">
        <v>40</v>
      </c>
    </row>
    <row r="5" spans="1:1" x14ac:dyDescent="0.3">
      <c r="A5" s="14" t="s">
        <v>41</v>
      </c>
    </row>
    <row r="7" spans="1:1" x14ac:dyDescent="0.3">
      <c r="A7" s="14" t="s">
        <v>42</v>
      </c>
    </row>
    <row r="9" spans="1:1" x14ac:dyDescent="0.3">
      <c r="A9" s="14" t="s">
        <v>43</v>
      </c>
    </row>
    <row r="11" spans="1:1" x14ac:dyDescent="0.3">
      <c r="A11" s="14" t="s">
        <v>44</v>
      </c>
    </row>
    <row r="13" spans="1:1" x14ac:dyDescent="0.3">
      <c r="A13" s="14" t="s">
        <v>45</v>
      </c>
    </row>
    <row r="15" spans="1:1" x14ac:dyDescent="0.3">
      <c r="A15" s="14" t="s">
        <v>46</v>
      </c>
    </row>
    <row r="17" spans="1:1" x14ac:dyDescent="0.3">
      <c r="A17" s="14" t="s">
        <v>47</v>
      </c>
    </row>
    <row r="19" spans="1:1" x14ac:dyDescent="0.3">
      <c r="A19" s="14" t="s">
        <v>48</v>
      </c>
    </row>
    <row r="21" spans="1:1" x14ac:dyDescent="0.3">
      <c r="A21" s="14" t="s">
        <v>49</v>
      </c>
    </row>
    <row r="23" spans="1:1" x14ac:dyDescent="0.3">
      <c r="A23" s="14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digestion_page</vt:lpstr>
      <vt:lpstr>200118339</vt:lpstr>
      <vt:lpstr>200118340</vt:lpstr>
      <vt:lpstr>200118341</vt:lpstr>
      <vt:lpstr>formula_page</vt:lpstr>
    </vt:vector>
  </TitlesOfParts>
  <Company>Clariant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Archemetre, Carl P.</cp:lastModifiedBy>
  <dcterms:created xsi:type="dcterms:W3CDTF">2026-05-24T14:50:02Z</dcterms:created>
  <dcterms:modified xsi:type="dcterms:W3CDTF">2026-05-24T14:51:32Z</dcterms:modified>
</cp:coreProperties>
</file>