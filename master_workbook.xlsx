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igestion_page" sheetId="1" r:id="rId1"/>
    <sheet name="200120001" sheetId="2" r:id="rId2"/>
    <sheet name="200120002" sheetId="3" r:id="rId3"/>
    <sheet name="formula_page" sheetId="4" r:id="rId4"/>
  </sheets>
  <calcPr calcId="124519" fullCalcOnLoad="1"/>
</workbook>
</file>

<file path=xl/sharedStrings.xml><?xml version="1.0" encoding="utf-8"?>
<sst xmlns="http://schemas.openxmlformats.org/spreadsheetml/2006/main" count="59" uniqueCount="37">
  <si>
    <t>Date:</t>
  </si>
  <si>
    <t>Request ID:</t>
  </si>
  <si>
    <t>Microwave</t>
  </si>
  <si>
    <t>Element(s)</t>
  </si>
  <si>
    <t>Ca</t>
  </si>
  <si>
    <t>SOP#</t>
  </si>
  <si>
    <t>Acid Cocktail</t>
  </si>
  <si>
    <t>Rack</t>
  </si>
  <si>
    <t>Vessel</t>
  </si>
  <si>
    <t>Stir</t>
  </si>
  <si>
    <t>Time (min)</t>
  </si>
  <si>
    <t>Power (W)</t>
  </si>
  <si>
    <t>T1 (°C)</t>
  </si>
  <si>
    <t>T2 (°C)</t>
  </si>
  <si>
    <t>P (bar)</t>
  </si>
  <si>
    <t>sample(s)</t>
  </si>
  <si>
    <t>weight (g)</t>
  </si>
  <si>
    <t>volume (mL)</t>
  </si>
  <si>
    <t>200120001_1</t>
  </si>
  <si>
    <t>200120001_2</t>
  </si>
  <si>
    <t>200120002_1</t>
  </si>
  <si>
    <t>200120002_2</t>
  </si>
  <si>
    <t>Ca ICP analysis</t>
  </si>
  <si>
    <t>sample</t>
  </si>
  <si>
    <t>Dilution</t>
  </si>
  <si>
    <t>conc. [mg/L]</t>
  </si>
  <si>
    <t>Ca_ppm</t>
  </si>
  <si>
    <t>%Ca</t>
  </si>
  <si>
    <t>ca result:</t>
  </si>
  <si>
    <t>ca oxide factor:</t>
  </si>
  <si>
    <t>ca oxide result:</t>
  </si>
  <si>
    <t>ca lot:</t>
  </si>
  <si>
    <t>Manufacturer: Assurance, 28-35CAY exp: 2026-10-30</t>
  </si>
  <si>
    <t>Note(s):</t>
  </si>
  <si>
    <t>ppm M+ = [conc.][volume][dilution]/[weight]</t>
  </si>
  <si>
    <t>%M+ = [conc.][volume][dilution]/([weight]*10,000)</t>
  </si>
  <si>
    <t>%MO = [oxide factor]*%M+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</si>
</sst>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0.0000"/>
    <numFmt numFmtId="166" formatCode="0.000"/>
    <numFmt numFmtId="167" formatCode="0.00"/>
    <numFmt numFmtId="168" formatCode="0.00&quot; ppm&quot;"/>
    <numFmt numFmtId="169" formatCode="0.00&quot; %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right"/>
    </xf>
    <xf numFmtId="16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0" fillId="0" borderId="1" xfId="0" applyBorder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166" fontId="0" fillId="0" borderId="1" xfId="0" applyNumberFormat="1" applyBorder="1"/>
    <xf numFmtId="167" fontId="0" fillId="0" borderId="1" xfId="0" applyNumberFormat="1" applyBorder="1"/>
    <xf numFmtId="0" fontId="2" fillId="0" borderId="0" xfId="0" applyFont="1"/>
    <xf numFmtId="0" fontId="0" fillId="0" borderId="0" xfId="0" applyAlignment="1">
      <alignment horizontal="right"/>
    </xf>
    <xf numFmtId="168" fontId="0" fillId="0" borderId="0" xfId="0" applyNumberFormat="1" applyAlignment="1">
      <alignment horizontal="left"/>
    </xf>
    <xf numFmtId="169" fontId="0" fillId="0" borderId="0" xfId="0" applyNumberForma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4" fillId="0" borderId="0" xfId="0" applyFont="1"/>
  </cellXfs>
  <cellStyles count="1">
    <cellStyle name="Normal" xfId="0" builtinId="0"/>
  </cellStyles>
  <dxfs count="1">
    <dxf>
      <fill>
        <patternFill>
          <bgColor rgb="FFFFFFC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0"/>
  <sheetViews>
    <sheetView tabSelected="1" workbookViewId="0"/>
  </sheetViews>
  <sheetFormatPr defaultRowHeight="15"/>
  <cols>
    <col min="1" max="1" width="12.28515625" bestFit="1" customWidth="1"/>
    <col min="2" max="2" width="10.7109375" customWidth="1"/>
    <col min="3" max="3" width="12.140625" bestFit="1" customWidth="1"/>
    <col min="4" max="4" width="7.140625" bestFit="1" customWidth="1"/>
    <col min="5" max="5" width="6.85546875" bestFit="1" customWidth="1"/>
  </cols>
  <sheetData>
    <row r="1" spans="1:5">
      <c r="A1" s="1" t="s">
        <v>0</v>
      </c>
      <c r="B1" s="2">
        <v>46171</v>
      </c>
    </row>
    <row r="2" spans="1:5">
      <c r="A2" s="1" t="s">
        <v>1</v>
      </c>
      <c r="B2" s="3"/>
    </row>
    <row r="5" spans="1:5">
      <c r="A5" s="4" t="s">
        <v>2</v>
      </c>
      <c r="B5" s="4"/>
      <c r="C5" s="4"/>
      <c r="D5" s="4"/>
      <c r="E5" s="4"/>
    </row>
    <row r="6" spans="1:5">
      <c r="A6" s="5" t="s">
        <v>3</v>
      </c>
      <c r="B6" s="6" t="s">
        <v>4</v>
      </c>
      <c r="C6" s="6"/>
      <c r="D6" s="6"/>
      <c r="E6" s="6"/>
    </row>
    <row r="7" spans="1:5">
      <c r="A7" s="5" t="s">
        <v>5</v>
      </c>
      <c r="B7" s="6"/>
      <c r="C7" s="6"/>
      <c r="D7" s="6"/>
      <c r="E7" s="6"/>
    </row>
    <row r="8" spans="1:5">
      <c r="A8" s="5" t="s">
        <v>6</v>
      </c>
      <c r="B8" s="6"/>
      <c r="C8" s="6"/>
      <c r="D8" s="6"/>
      <c r="E8" s="6"/>
    </row>
    <row r="9" spans="1:5">
      <c r="A9" s="5" t="s">
        <v>7</v>
      </c>
      <c r="B9" s="7"/>
      <c r="C9" s="7"/>
      <c r="D9" s="7"/>
      <c r="E9" s="7"/>
    </row>
    <row r="10" spans="1:5">
      <c r="A10" s="5" t="s">
        <v>8</v>
      </c>
      <c r="B10" s="6"/>
      <c r="C10" s="6"/>
      <c r="D10" s="6"/>
      <c r="E10" s="6"/>
    </row>
    <row r="11" spans="1:5">
      <c r="A11" s="5" t="s">
        <v>9</v>
      </c>
      <c r="B11" s="7"/>
      <c r="C11" s="7"/>
      <c r="D11" s="7"/>
      <c r="E11" s="7"/>
    </row>
    <row r="12" spans="1:5">
      <c r="A12" s="5" t="s">
        <v>10</v>
      </c>
      <c r="B12" s="5" t="s">
        <v>11</v>
      </c>
      <c r="C12" s="5" t="s">
        <v>12</v>
      </c>
      <c r="D12" s="5" t="s">
        <v>13</v>
      </c>
      <c r="E12" s="5" t="s">
        <v>14</v>
      </c>
    </row>
    <row r="13" spans="1:5">
      <c r="A13" s="6">
        <v>15</v>
      </c>
      <c r="B13" s="6">
        <v>1200</v>
      </c>
      <c r="C13" s="6">
        <v>180</v>
      </c>
      <c r="D13" s="6">
        <v>65</v>
      </c>
      <c r="E13" s="6">
        <v>110</v>
      </c>
    </row>
    <row r="14" spans="1:5">
      <c r="A14" s="6">
        <v>15</v>
      </c>
      <c r="B14" s="6">
        <v>1500</v>
      </c>
      <c r="C14" s="6">
        <v>240</v>
      </c>
      <c r="D14" s="6">
        <v>65</v>
      </c>
      <c r="E14" s="6">
        <v>110</v>
      </c>
    </row>
    <row r="15" spans="1:5">
      <c r="A15" s="6"/>
      <c r="B15" s="6"/>
      <c r="C15" s="6"/>
      <c r="D15" s="6"/>
      <c r="E15" s="6"/>
    </row>
    <row r="16" spans="1:5">
      <c r="A16" s="5" t="s">
        <v>15</v>
      </c>
      <c r="B16" s="5" t="s">
        <v>16</v>
      </c>
      <c r="C16" s="5" t="s">
        <v>17</v>
      </c>
    </row>
    <row r="17" spans="1:3">
      <c r="A17" s="5" t="s">
        <v>18</v>
      </c>
      <c r="B17" s="8"/>
      <c r="C17" s="6"/>
    </row>
    <row r="18" spans="1:3">
      <c r="A18" s="5" t="s">
        <v>19</v>
      </c>
      <c r="B18" s="8"/>
      <c r="C18" s="6"/>
    </row>
    <row r="19" spans="1:3">
      <c r="A19" s="5" t="s">
        <v>20</v>
      </c>
      <c r="B19" s="8"/>
      <c r="C19" s="6"/>
    </row>
    <row r="20" spans="1:3">
      <c r="A20" s="5" t="s">
        <v>21</v>
      </c>
      <c r="B20" s="8"/>
      <c r="C20" s="6"/>
    </row>
  </sheetData>
  <mergeCells count="7">
    <mergeCell ref="A5:E5"/>
    <mergeCell ref="B6:E6"/>
    <mergeCell ref="B7:E7"/>
    <mergeCell ref="B8:E8"/>
    <mergeCell ref="B9:E9"/>
    <mergeCell ref="B10:E10"/>
    <mergeCell ref="B11:E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46171</v>
      </c>
    </row>
    <row r="2" spans="1:9">
      <c r="A2" s="1" t="s">
        <v>1</v>
      </c>
      <c r="B2" s="3"/>
    </row>
    <row r="5" spans="1:9">
      <c r="A5" s="3" t="s">
        <v>22</v>
      </c>
      <c r="B5" s="3"/>
    </row>
    <row r="6" spans="1:9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</row>
    <row r="7" spans="1:9">
      <c r="A7" s="5" t="s">
        <v>18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digestion_page!B17</f>
        <v>0</v>
      </c>
      <c r="H7" s="11">
        <f>digestion_page!C17</f>
        <v>0</v>
      </c>
      <c r="I7" s="11">
        <f>(LEFT(B7,FIND("/",B7)-1)/RIGHT(B7,LEN(B7)-FIND("/", B7)))</f>
        <v>0</v>
      </c>
    </row>
    <row r="8" spans="1:9">
      <c r="A8" s="5" t="s">
        <v>19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digestion_page!B18</f>
        <v>0</v>
      </c>
      <c r="H8" s="11">
        <f>digestion_page!C18</f>
        <v>0</v>
      </c>
      <c r="I8" s="11">
        <f>(LEFT(B8,FIND("/",B8)-1)/RIGHT(B8,LEN(B8)-FIND("/", B8)))</f>
        <v>0</v>
      </c>
    </row>
    <row r="10" spans="1:9">
      <c r="A10" s="12" t="s">
        <v>28</v>
      </c>
      <c r="B10" s="12"/>
      <c r="C10" s="13">
        <f>AVERAGE(D7:D8)</f>
        <v>0</v>
      </c>
    </row>
    <row r="11" spans="1:9">
      <c r="A11" s="12" t="s">
        <v>28</v>
      </c>
      <c r="B11" s="12"/>
      <c r="C11" s="14">
        <f>AVERAGE(E7:E8)</f>
        <v>0</v>
      </c>
    </row>
    <row r="12" spans="1:9">
      <c r="A12" s="12" t="s">
        <v>29</v>
      </c>
      <c r="B12" s="12"/>
      <c r="C12" s="3"/>
    </row>
    <row r="13" spans="1:9">
      <c r="A13" s="12" t="s">
        <v>30</v>
      </c>
      <c r="B13" s="12"/>
      <c r="C13" s="14">
        <f>AVERAGE(E7:E8)*(C12)</f>
        <v>0</v>
      </c>
    </row>
    <row r="14" spans="1:9">
      <c r="A14" s="12" t="s">
        <v>31</v>
      </c>
      <c r="B14" s="12"/>
      <c r="C14" s="15" t="s">
        <v>32</v>
      </c>
      <c r="D14" s="15"/>
      <c r="E14" s="15"/>
      <c r="F14" s="15"/>
    </row>
    <row r="16" spans="1:9">
      <c r="B16" s="12" t="s">
        <v>33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/>
  </sheetViews>
  <sheetFormatPr defaultRowHeight="15"/>
  <cols>
    <col min="1" max="1" width="14.42578125" bestFit="1" customWidth="1"/>
    <col min="2" max="2" width="10.7109375" bestFit="1" customWidth="1"/>
    <col min="3" max="3" width="12.7109375" customWidth="1"/>
    <col min="4" max="4" width="8.140625" bestFit="1" customWidth="1"/>
    <col min="5" max="6" width="7.7109375" customWidth="1"/>
  </cols>
  <sheetData>
    <row r="1" spans="1:9">
      <c r="A1" s="1" t="s">
        <v>0</v>
      </c>
      <c r="B1" s="2">
        <v>46171</v>
      </c>
    </row>
    <row r="2" spans="1:9">
      <c r="A2" s="1" t="s">
        <v>1</v>
      </c>
      <c r="B2" s="3"/>
    </row>
    <row r="5" spans="1:9">
      <c r="A5" s="3" t="s">
        <v>22</v>
      </c>
      <c r="B5" s="3"/>
    </row>
    <row r="6" spans="1:9">
      <c r="A6" s="5" t="s">
        <v>23</v>
      </c>
      <c r="B6" s="5" t="s">
        <v>24</v>
      </c>
      <c r="C6" s="5" t="s">
        <v>25</v>
      </c>
      <c r="D6" s="5" t="s">
        <v>26</v>
      </c>
      <c r="E6" s="5" t="s">
        <v>27</v>
      </c>
    </row>
    <row r="7" spans="1:9">
      <c r="A7" s="5" t="s">
        <v>20</v>
      </c>
      <c r="B7" s="6">
        <f>"1/1"</f>
        <v>0</v>
      </c>
      <c r="C7" s="9"/>
      <c r="D7" s="10">
        <f>((C7)*(H7)*(I7))/(G7*1)</f>
        <v>0</v>
      </c>
      <c r="E7" s="10">
        <f>D7/10000</f>
        <v>0</v>
      </c>
      <c r="G7" s="11">
        <f>digestion_page!B19</f>
        <v>0</v>
      </c>
      <c r="H7" s="11">
        <f>digestion_page!C19</f>
        <v>0</v>
      </c>
      <c r="I7" s="11">
        <f>(LEFT(B7,FIND("/",B7)-1)/RIGHT(B7,LEN(B7)-FIND("/", B7)))</f>
        <v>0</v>
      </c>
    </row>
    <row r="8" spans="1:9">
      <c r="A8" s="5" t="s">
        <v>21</v>
      </c>
      <c r="B8" s="6">
        <f>"1/1"</f>
        <v>0</v>
      </c>
      <c r="C8" s="9"/>
      <c r="D8" s="10">
        <f>((C8)*(H8)*(I8))/(G8*1)</f>
        <v>0</v>
      </c>
      <c r="E8" s="10">
        <f>D8/10000</f>
        <v>0</v>
      </c>
      <c r="G8" s="11">
        <f>digestion_page!B20</f>
        <v>0</v>
      </c>
      <c r="H8" s="11">
        <f>digestion_page!C20</f>
        <v>0</v>
      </c>
      <c r="I8" s="11">
        <f>(LEFT(B8,FIND("/",B8)-1)/RIGHT(B8,LEN(B8)-FIND("/", B8)))</f>
        <v>0</v>
      </c>
    </row>
    <row r="10" spans="1:9">
      <c r="A10" s="12" t="s">
        <v>28</v>
      </c>
      <c r="B10" s="12"/>
      <c r="C10" s="13">
        <f>AVERAGE(D7:D8)</f>
        <v>0</v>
      </c>
    </row>
    <row r="11" spans="1:9">
      <c r="A11" s="12" t="s">
        <v>28</v>
      </c>
      <c r="B11" s="12"/>
      <c r="C11" s="14">
        <f>AVERAGE(E7:E8)</f>
        <v>0</v>
      </c>
    </row>
    <row r="12" spans="1:9">
      <c r="A12" s="12" t="s">
        <v>29</v>
      </c>
      <c r="B12" s="12"/>
      <c r="C12" s="3"/>
    </row>
    <row r="13" spans="1:9">
      <c r="A13" s="12" t="s">
        <v>30</v>
      </c>
      <c r="B13" s="12"/>
      <c r="C13" s="14">
        <f>AVERAGE(E7:E8)*(C12)</f>
        <v>0</v>
      </c>
    </row>
    <row r="14" spans="1:9">
      <c r="A14" s="12" t="s">
        <v>31</v>
      </c>
      <c r="B14" s="12"/>
      <c r="C14" s="15" t="s">
        <v>32</v>
      </c>
      <c r="D14" s="15"/>
      <c r="E14" s="15"/>
      <c r="F14" s="15"/>
    </row>
    <row r="16" spans="1:9">
      <c r="B16" s="12" t="s">
        <v>33</v>
      </c>
      <c r="C16" s="16"/>
      <c r="D16" s="16"/>
      <c r="E16" s="16"/>
      <c r="F16" s="16"/>
    </row>
    <row r="17" spans="3:6">
      <c r="C17" s="16"/>
      <c r="D17" s="16"/>
      <c r="E17" s="16"/>
      <c r="F17" s="16"/>
    </row>
    <row r="18" spans="3:6">
      <c r="C18" s="16"/>
      <c r="D18" s="16"/>
      <c r="E18" s="16"/>
      <c r="F18" s="16"/>
    </row>
  </sheetData>
  <mergeCells count="8">
    <mergeCell ref="A5:B5"/>
    <mergeCell ref="A10:B10"/>
    <mergeCell ref="A11:B11"/>
    <mergeCell ref="A12:B12"/>
    <mergeCell ref="A13:B13"/>
    <mergeCell ref="A14:B14"/>
    <mergeCell ref="C14:F14"/>
    <mergeCell ref="C16:F18"/>
  </mergeCells>
  <conditionalFormatting sqref="C14:F14">
    <cfRule type="containsBlanks" dxfId="0" priority="1">
      <formula>LEN(TRIM(C14))=0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5"/>
  <sheetViews>
    <sheetView workbookViewId="0"/>
  </sheetViews>
  <sheetFormatPr defaultRowHeight="15"/>
  <cols>
    <col min="1" max="1" width="46.140625" bestFit="1" customWidth="1"/>
  </cols>
  <sheetData>
    <row r="1" spans="1:1">
      <c r="A1" s="17" t="s">
        <v>34</v>
      </c>
    </row>
    <row r="3" spans="1:1">
      <c r="A3" s="17" t="s">
        <v>35</v>
      </c>
    </row>
    <row r="5" spans="1:1">
      <c r="A5" s="17" t="s">
        <v>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digestion_page</vt:lpstr>
      <vt:lpstr>200120001</vt:lpstr>
      <vt:lpstr>200120002</vt:lpstr>
      <vt:lpstr>formula_page</vt:lpstr>
    </vt:vector>
  </TitlesOfParts>
  <Company>Clariant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Archemetre</dc:creator>
  <dc:description>Created with Python, XlsxWriter</dc:description>
  <cp:lastModifiedBy>Carl Archemetre</cp:lastModifiedBy>
  <dcterms:created xsi:type="dcterms:W3CDTF">2026-05-30T00:57:00Z</dcterms:created>
  <dcterms:modified xsi:type="dcterms:W3CDTF">2026-05-30T00:57:00Z</dcterms:modified>
</cp:coreProperties>
</file>