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<sst xmlns="http://schemas.openxmlformats.org/spreadsheetml/2006/main" count="59" uniqueCount="47">
  <si>
    <t>Date:</t>
  </si>
  <si>
    <t>Request ID:</t>
  </si>
  <si>
    <t>1000</t>
  </si>
  <si>
    <t>Microwave</t>
  </si>
  <si>
    <t>Analyte(s)</t>
  </si>
  <si>
    <t>Ca, Ti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</si>
  <si>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</si>
  <si>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</si>
  <si>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</si>
  <si>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</si>
  <si>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</si>
  <si>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</si>
  <si>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</si>
  <si>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</si>
  <si>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</si>
  <si>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</si>
  <si>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</si>
  <si>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</si>
  <si>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</si>
  <si>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20012_1</t>
  </si>
  <si>
    <t>20012_2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</si>
  <si>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</si>
  <si>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</si>
  <si>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</si>
  <si>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</si>
  <si>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</si>
  <si>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</si>
  <si>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</si>
  <si>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hydroxide factor:</t>
  </si>
  <si>
    <t>ca hydroxide result:</t>
  </si>
  <si>
    <t>ca oxide factor:</t>
  </si>
  <si>
    <t>ca oxide result:</t>
  </si>
  <si>
    <t>ca lot:</t>
  </si>
  <si>
    <t>Ti ICP analysis</t>
  </si>
  <si>
    <t>Ti_ppm</t>
  </si>
  <si>
    <t>%Ti</t>
  </si>
  <si>
    <t>ti result:</t>
  </si>
  <si>
    <t>ti oxide factor:</t>
  </si>
  <si>
    <t>ti oxide result:</t>
  </si>
  <si>
    <t>ti lot:</t>
  </si>
  <si>
    <t>Manufacturer: Assurance, 28-35CAY exp: 2026-10-30</t>
  </si>
  <si>
    <t>Manufacturer: Assurance, 27-189TIT exp: 2026-08-30</t>
  </si>
  <si>
    <t>Note(s):</t>
  </si>
  <si>
    <t>ppm M+ = [conc.][volume][dilution]/[weight]</t>
  </si>
  <si>
    <t>%M+ = [conc.][volume][dilution]/([weight]*10,000)</t>
  </si>
  <si>
    <t>%MH = [hydroxide factor]*%M+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</si>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</sst>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46251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1"/>
  <sheetViews>
    <sheetView workbookViewId="0"/>
  </sheetViews>
  <sheetFormatPr defaultRowHeight="15"/>
  <cols>
    <col min="1" max="1" width="18.42578125" bestFit="1" customWidth="1"/>
    <col min="2" max="2" width="10.7109375" bestFit="1" customWidth="1"/>
    <col min="3" max="3" width="12.7109375" customWidth="1"/>
    <col min="4" max="4" width="8.140625" bestFit="1" customWidth="1"/>
    <col min="5" max="19" width="7.7109375" customWidth="1"/>
  </cols>
  <sheetData>
    <row r="1" spans="1:9">
      <c r="A1" s="1" t="s">
        <v>0</v>
      </c>
      <c r="B1" s="2">
        <v>46251</v>
      </c>
    </row>
    <row r="2" spans="1:9">
      <c r="A2" s="1" t="s">
        <v>1</v>
      </c>
      <c r="B2" s="3" t="s">
        <v>2</v>
      </c>
    </row>
    <row r="5" spans="1:9">
      <c r="A5" s="3" t="s">
        <v>21</v>
      </c>
      <c r="B5" s="3"/>
    </row>
    <row r="6" spans="1:9">
      <c r="A6" s="5" t="s">
        <v>22</v>
      </c>
      <c r="B6" s="5" t="s">
        <v>23</v>
      </c>
      <c r="C6" s="5" t="s">
        <v>24</v>
      </c>
      <c r="D6" s="5" t="s">
        <v>25</v>
      </c>
      <c r="E6" s="5" t="s">
        <v>26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27</v>
      </c>
      <c r="B10" s="12"/>
      <c r="C10" s="13">
        <f>AVERAGE(D7:D8)</f>
        <v>0</v>
      </c>
    </row>
    <row r="11" spans="1:9">
      <c r="A11" s="12" t="s">
        <v>27</v>
      </c>
      <c r="B11" s="12"/>
      <c r="C11" s="14">
        <f>AVERAGE(E7:E8)</f>
        <v>0</v>
      </c>
    </row>
    <row r="12" spans="1:9">
      <c r="A12" s="12" t="s">
        <v>28</v>
      </c>
      <c r="B12" s="12"/>
      <c r="C12" s="3"/>
    </row>
    <row r="13" spans="1:9">
      <c r="A13" s="12" t="s">
        <v>29</v>
      </c>
      <c r="B13" s="12"/>
      <c r="C13" s="14">
        <f>AVERAGE(E7:E8)*(C12)</f>
        <v>0</v>
      </c>
    </row>
    <row r="14" spans="1:9">
      <c r="A14" s="12" t="s">
        <v>30</v>
      </c>
      <c r="B14" s="12"/>
      <c r="C14" s="3"/>
    </row>
    <row r="15" spans="1:9">
      <c r="A15" s="12" t="s">
        <v>31</v>
      </c>
      <c r="B15" s="12"/>
      <c r="C15" s="14">
        <f>AVERAGE(E7:E8)*(C14)</f>
        <v>0</v>
      </c>
    </row>
    <row r="16" spans="1:9">
      <c r="A16" s="12" t="s">
        <v>32</v>
      </c>
      <c r="B16" s="12"/>
      <c r="C16" s="15" t="s">
        <v>40</v>
      </c>
      <c r="D16" s="15"/>
      <c r="E16" s="15"/>
      <c r="F16" s="15"/>
    </row>
    <row r="18" spans="1:9">
      <c r="A18" s="3" t="s">
        <v>33</v>
      </c>
      <c r="B18" s="3"/>
    </row>
    <row r="19" spans="1:9">
      <c r="A19" s="5" t="s">
        <v>22</v>
      </c>
      <c r="B19" s="5" t="s">
        <v>23</v>
      </c>
      <c r="C19" s="5" t="s">
        <v>24</v>
      </c>
      <c r="D19" s="5" t="s">
        <v>34</v>
      </c>
      <c r="E19" s="5" t="s">
        <v>35</v>
      </c>
    </row>
    <row r="20" spans="1:9">
      <c r="A20" s="5" t="s">
        <v>19</v>
      </c>
      <c r="B20" s="6">
        <f>"1/1"</f>
        <v>0</v>
      </c>
      <c r="C20" s="9"/>
      <c r="D20" s="10">
        <f>((C20)*(H20)*(I20))/(G20*1)</f>
        <v>0</v>
      </c>
      <c r="E20" s="10">
        <f>D20/10000</f>
        <v>0</v>
      </c>
      <c r="G20" s="11">
        <f>digestion_page!B17</f>
        <v>0</v>
      </c>
      <c r="H20" s="11">
        <f>digestion_page!C17</f>
        <v>0</v>
      </c>
      <c r="I20" s="11">
        <f>(LEFT(B20,FIND("/",B20)-1)/RIGHT(B20,LEN(B20)-FIND("/", B20)))</f>
        <v>0</v>
      </c>
    </row>
    <row r="21" spans="1:9">
      <c r="A21" s="5" t="s">
        <v>20</v>
      </c>
      <c r="B21" s="6">
        <f>"1/1"</f>
        <v>0</v>
      </c>
      <c r="C21" s="9"/>
      <c r="D21" s="10">
        <f>((C21)*(H21)*(I21))/(G21*1)</f>
        <v>0</v>
      </c>
      <c r="E21" s="10">
        <f>D21/10000</f>
        <v>0</v>
      </c>
      <c r="G21" s="11">
        <f>digestion_page!B18</f>
        <v>0</v>
      </c>
      <c r="H21" s="11">
        <f>digestion_page!C18</f>
        <v>0</v>
      </c>
      <c r="I21" s="11">
        <f>(LEFT(B21,FIND("/",B21)-1)/RIGHT(B21,LEN(B21)-FIND("/", B21)))</f>
        <v>0</v>
      </c>
    </row>
    <row r="23" spans="1:9">
      <c r="A23" s="12" t="s">
        <v>36</v>
      </c>
      <c r="B23" s="12"/>
      <c r="C23" s="13">
        <f>AVERAGE(D20:D21)</f>
        <v>0</v>
      </c>
    </row>
    <row r="24" spans="1:9">
      <c r="A24" s="12" t="s">
        <v>36</v>
      </c>
      <c r="B24" s="12"/>
      <c r="C24" s="14">
        <f>AVERAGE(E20:E21)</f>
        <v>0</v>
      </c>
    </row>
    <row r="25" spans="1:9">
      <c r="A25" s="12" t="s">
        <v>37</v>
      </c>
      <c r="B25" s="12"/>
      <c r="C25" s="3"/>
    </row>
    <row r="26" spans="1:9">
      <c r="A26" s="12" t="s">
        <v>38</v>
      </c>
      <c r="B26" s="12"/>
      <c r="C26" s="14">
        <f>AVERAGE(E20:E21)*(C25)</f>
        <v>0</v>
      </c>
    </row>
    <row r="27" spans="1:9">
      <c r="A27" s="12" t="s">
        <v>39</v>
      </c>
      <c r="B27" s="12"/>
      <c r="C27" s="15" t="s">
        <v>41</v>
      </c>
      <c r="D27" s="15"/>
      <c r="E27" s="15"/>
      <c r="F27" s="15"/>
    </row>
    <row r="29" spans="1:9">
      <c r="B29" s="12" t="s">
        <v>42</v>
      </c>
      <c r="C29" s="16"/>
      <c r="D29" s="16"/>
      <c r="E29" s="16"/>
      <c r="F29" s="16"/>
    </row>
    <row r="30" spans="1:9">
      <c r="C30" s="16"/>
      <c r="D30" s="16"/>
      <c r="E30" s="16"/>
      <c r="F30" s="16"/>
    </row>
    <row r="31" spans="1:9">
      <c r="C31" s="16"/>
      <c r="D31" s="16"/>
      <c r="E31" s="16"/>
      <c r="F31" s="16"/>
    </row>
  </sheetData>
  <mergeCells count="17">
    <mergeCell ref="A5:B5"/>
    <mergeCell ref="A10:B10"/>
    <mergeCell ref="A11:B11"/>
    <mergeCell ref="A12:B12"/>
    <mergeCell ref="A13:B13"/>
    <mergeCell ref="A14:B14"/>
    <mergeCell ref="A15:B15"/>
    <mergeCell ref="A16:B16"/>
    <mergeCell ref="C16:F16"/>
    <mergeCell ref="A18:B18"/>
    <mergeCell ref="A23:B23"/>
    <mergeCell ref="A24:B24"/>
    <mergeCell ref="A25:B25"/>
    <mergeCell ref="A26:B26"/>
    <mergeCell ref="A27:B27"/>
    <mergeCell ref="C27:F27"/>
    <mergeCell ref="C29:F31"/>
  </mergeCells>
  <conditionalFormatting sqref="C16:F16">
    <cfRule type="containsBlanks" dxfId="0" priority="1">
      <formula>LEN(TRIM(C16))=0</formula>
    </cfRule>
  </conditionalFormatting>
  <conditionalFormatting sqref="C27:F27">
    <cfRule type="containsBlanks" dxfId="0" priority="2">
      <formula>LEN(TRIM(C27))=0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43</v>
      </c>
    </row>
    <row r="3" spans="1:1">
      <c r="A3" s="17" t="s">
        <v>44</v>
      </c>
    </row>
    <row r="5" spans="1:1">
      <c r="A5" s="17" t="s">
        <v>45</v>
      </c>
    </row>
    <row r="7" spans="1:1">
      <c r="A7" s="17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2026-08-17T23:03:54Z</dcterms:created>
  <dcterms:modified xsi:type="dcterms:W3CDTF">2026-08-17T23:03:54Z</dcterms:modified>
</cp:coreProperties>
</file>