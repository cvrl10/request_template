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cheme\PycharmProjects\request_template\"/>
    </mc:Choice>
  </mc:AlternateContent>
  <xr:revisionPtr revIDLastSave="0" documentId="13_ncr:1_{1F510A66-5B20-43E9-9D00-A2A4F2625119}" xr6:coauthVersionLast="47" xr6:coauthVersionMax="47" xr10:uidLastSave="{00000000-0000-0000-0000-000000000000}"/>
  <bookViews>
    <workbookView xWindow="28680" yWindow="-1830" windowWidth="29040" windowHeight="15720" activeTab="2" xr2:uid="{00000000-000D-0000-FFFF-FFFF00000000}"/>
  </bookViews>
  <sheets>
    <sheet name="digestion_page" sheetId="1" r:id="rId1"/>
    <sheet name="200127815" sheetId="2" r:id="rId2"/>
    <sheet name="200127816" sheetId="3" r:id="rId3"/>
    <sheet name="formula_pag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8" i="2" l="1"/>
  <c r="B67" i="2"/>
  <c r="H93" i="3"/>
  <c r="G93" i="3"/>
  <c r="B93" i="3"/>
  <c r="I93" i="3" s="1"/>
  <c r="H92" i="3"/>
  <c r="G92" i="3"/>
  <c r="B92" i="3"/>
  <c r="I92" i="3" s="1"/>
  <c r="D92" i="3" s="1"/>
  <c r="E92" i="3" s="1"/>
  <c r="H91" i="3"/>
  <c r="G91" i="3"/>
  <c r="B91" i="3"/>
  <c r="I91" i="3" s="1"/>
  <c r="I81" i="3"/>
  <c r="H81" i="3"/>
  <c r="G81" i="3"/>
  <c r="B81" i="3"/>
  <c r="H80" i="3"/>
  <c r="G80" i="3"/>
  <c r="B80" i="3"/>
  <c r="I80" i="3" s="1"/>
  <c r="D80" i="3" s="1"/>
  <c r="E80" i="3" s="1"/>
  <c r="I79" i="3"/>
  <c r="H79" i="3"/>
  <c r="D79" i="3" s="1"/>
  <c r="G79" i="3"/>
  <c r="B79" i="3"/>
  <c r="H69" i="3"/>
  <c r="G69" i="3"/>
  <c r="B69" i="3"/>
  <c r="I69" i="3" s="1"/>
  <c r="D69" i="3" s="1"/>
  <c r="E69" i="3" s="1"/>
  <c r="H68" i="3"/>
  <c r="D68" i="3" s="1"/>
  <c r="E68" i="3" s="1"/>
  <c r="G68" i="3"/>
  <c r="B68" i="3"/>
  <c r="I68" i="3" s="1"/>
  <c r="H67" i="3"/>
  <c r="G67" i="3"/>
  <c r="B67" i="3"/>
  <c r="I67" i="3" s="1"/>
  <c r="D67" i="3" s="1"/>
  <c r="H57" i="3"/>
  <c r="G57" i="3"/>
  <c r="B57" i="3"/>
  <c r="I57" i="3" s="1"/>
  <c r="D57" i="3" s="1"/>
  <c r="E57" i="3" s="1"/>
  <c r="I56" i="3"/>
  <c r="H56" i="3"/>
  <c r="G56" i="3"/>
  <c r="B56" i="3"/>
  <c r="H55" i="3"/>
  <c r="G55" i="3"/>
  <c r="B55" i="3"/>
  <c r="I55" i="3" s="1"/>
  <c r="I45" i="3"/>
  <c r="H45" i="3"/>
  <c r="D45" i="3" s="1"/>
  <c r="E45" i="3" s="1"/>
  <c r="G45" i="3"/>
  <c r="B45" i="3"/>
  <c r="H44" i="3"/>
  <c r="G44" i="3"/>
  <c r="B44" i="3"/>
  <c r="I44" i="3" s="1"/>
  <c r="I43" i="3"/>
  <c r="H43" i="3"/>
  <c r="D43" i="3" s="1"/>
  <c r="G43" i="3"/>
  <c r="B43" i="3"/>
  <c r="I33" i="3"/>
  <c r="H33" i="3"/>
  <c r="G33" i="3"/>
  <c r="B33" i="3"/>
  <c r="H32" i="3"/>
  <c r="G32" i="3"/>
  <c r="B32" i="3"/>
  <c r="I32" i="3" s="1"/>
  <c r="D32" i="3" s="1"/>
  <c r="E32" i="3" s="1"/>
  <c r="I31" i="3"/>
  <c r="H31" i="3"/>
  <c r="G31" i="3"/>
  <c r="B31" i="3"/>
  <c r="H21" i="3"/>
  <c r="G21" i="3"/>
  <c r="B21" i="3"/>
  <c r="I21" i="3" s="1"/>
  <c r="D21" i="3" s="1"/>
  <c r="E21" i="3" s="1"/>
  <c r="I20" i="3"/>
  <c r="H20" i="3"/>
  <c r="G20" i="3"/>
  <c r="B20" i="3"/>
  <c r="H19" i="3"/>
  <c r="G19" i="3"/>
  <c r="B19" i="3"/>
  <c r="I19" i="3" s="1"/>
  <c r="D19" i="3" s="1"/>
  <c r="H9" i="3"/>
  <c r="G9" i="3"/>
  <c r="B9" i="3"/>
  <c r="I9" i="3" s="1"/>
  <c r="I8" i="3"/>
  <c r="H8" i="3"/>
  <c r="D8" i="3" s="1"/>
  <c r="E8" i="3" s="1"/>
  <c r="G8" i="3"/>
  <c r="B8" i="3"/>
  <c r="H7" i="3"/>
  <c r="G7" i="3"/>
  <c r="B7" i="3"/>
  <c r="I7" i="3" s="1"/>
  <c r="D7" i="3" s="1"/>
  <c r="I93" i="2"/>
  <c r="H93" i="2"/>
  <c r="D93" i="2" s="1"/>
  <c r="E93" i="2" s="1"/>
  <c r="G93" i="2"/>
  <c r="B93" i="2"/>
  <c r="H92" i="2"/>
  <c r="G92" i="2"/>
  <c r="B92" i="2"/>
  <c r="I92" i="2" s="1"/>
  <c r="D92" i="2" s="1"/>
  <c r="E92" i="2" s="1"/>
  <c r="I91" i="2"/>
  <c r="H91" i="2"/>
  <c r="G91" i="2"/>
  <c r="B91" i="2"/>
  <c r="I81" i="2"/>
  <c r="H81" i="2"/>
  <c r="D81" i="2" s="1"/>
  <c r="E81" i="2" s="1"/>
  <c r="G81" i="2"/>
  <c r="B81" i="2"/>
  <c r="H80" i="2"/>
  <c r="G80" i="2"/>
  <c r="B80" i="2"/>
  <c r="I80" i="2" s="1"/>
  <c r="D80" i="2" s="1"/>
  <c r="E80" i="2" s="1"/>
  <c r="I79" i="2"/>
  <c r="H79" i="2"/>
  <c r="G79" i="2"/>
  <c r="B79" i="2"/>
  <c r="H69" i="2"/>
  <c r="G69" i="2"/>
  <c r="B69" i="2"/>
  <c r="I69" i="2" s="1"/>
  <c r="D69" i="2" s="1"/>
  <c r="E69" i="2" s="1"/>
  <c r="I68" i="2"/>
  <c r="H68" i="2"/>
  <c r="G68" i="2"/>
  <c r="H67" i="2"/>
  <c r="G67" i="2"/>
  <c r="I67" i="2"/>
  <c r="H57" i="2"/>
  <c r="G57" i="2"/>
  <c r="B57" i="2"/>
  <c r="I57" i="2" s="1"/>
  <c r="D57" i="2" s="1"/>
  <c r="E57" i="2" s="1"/>
  <c r="I56" i="2"/>
  <c r="H56" i="2"/>
  <c r="D56" i="2" s="1"/>
  <c r="E56" i="2" s="1"/>
  <c r="G56" i="2"/>
  <c r="B56" i="2"/>
  <c r="H55" i="2"/>
  <c r="G55" i="2"/>
  <c r="B55" i="2"/>
  <c r="I55" i="2" s="1"/>
  <c r="I45" i="2"/>
  <c r="H45" i="2"/>
  <c r="D45" i="2" s="1"/>
  <c r="E45" i="2" s="1"/>
  <c r="G45" i="2"/>
  <c r="B45" i="2"/>
  <c r="H44" i="2"/>
  <c r="G44" i="2"/>
  <c r="B44" i="2"/>
  <c r="I44" i="2" s="1"/>
  <c r="D44" i="2" s="1"/>
  <c r="E44" i="2" s="1"/>
  <c r="I43" i="2"/>
  <c r="H43" i="2"/>
  <c r="D43" i="2" s="1"/>
  <c r="G43" i="2"/>
  <c r="B43" i="2"/>
  <c r="I33" i="2"/>
  <c r="H33" i="2"/>
  <c r="D33" i="2" s="1"/>
  <c r="E33" i="2" s="1"/>
  <c r="G33" i="2"/>
  <c r="B33" i="2"/>
  <c r="H32" i="2"/>
  <c r="G32" i="2"/>
  <c r="B32" i="2"/>
  <c r="I32" i="2" s="1"/>
  <c r="D32" i="2" s="1"/>
  <c r="E32" i="2" s="1"/>
  <c r="I31" i="2"/>
  <c r="H31" i="2"/>
  <c r="G31" i="2"/>
  <c r="B31" i="2"/>
  <c r="H21" i="2"/>
  <c r="G21" i="2"/>
  <c r="B21" i="2"/>
  <c r="I21" i="2" s="1"/>
  <c r="D21" i="2" s="1"/>
  <c r="E21" i="2" s="1"/>
  <c r="I20" i="2"/>
  <c r="H20" i="2"/>
  <c r="D20" i="2" s="1"/>
  <c r="E20" i="2" s="1"/>
  <c r="G20" i="2"/>
  <c r="B20" i="2"/>
  <c r="H19" i="2"/>
  <c r="G19" i="2"/>
  <c r="B19" i="2"/>
  <c r="I19" i="2" s="1"/>
  <c r="H9" i="2"/>
  <c r="G9" i="2"/>
  <c r="B9" i="2"/>
  <c r="I9" i="2" s="1"/>
  <c r="I8" i="2"/>
  <c r="H8" i="2"/>
  <c r="D8" i="2" s="1"/>
  <c r="E8" i="2" s="1"/>
  <c r="G8" i="2"/>
  <c r="B8" i="2"/>
  <c r="H7" i="2"/>
  <c r="G7" i="2"/>
  <c r="B7" i="2"/>
  <c r="I7" i="2" s="1"/>
  <c r="D68" i="2" l="1"/>
  <c r="E68" i="2" s="1"/>
  <c r="D33" i="3"/>
  <c r="E33" i="3" s="1"/>
  <c r="D81" i="3"/>
  <c r="E81" i="3" s="1"/>
  <c r="D20" i="3"/>
  <c r="E20" i="3" s="1"/>
  <c r="D56" i="3"/>
  <c r="E56" i="3" s="1"/>
  <c r="D31" i="3"/>
  <c r="D55" i="3"/>
  <c r="D31" i="2"/>
  <c r="E31" i="2" s="1"/>
  <c r="D91" i="2"/>
  <c r="E91" i="2" s="1"/>
  <c r="D79" i="2"/>
  <c r="D44" i="3"/>
  <c r="E44" i="3" s="1"/>
  <c r="D9" i="3"/>
  <c r="E9" i="3" s="1"/>
  <c r="D9" i="2"/>
  <c r="E9" i="2" s="1"/>
  <c r="D19" i="2"/>
  <c r="E19" i="2" s="1"/>
  <c r="D7" i="2"/>
  <c r="E7" i="2" s="1"/>
  <c r="D67" i="2"/>
  <c r="E67" i="2" s="1"/>
  <c r="D55" i="2"/>
  <c r="C59" i="2" s="1"/>
  <c r="C47" i="2"/>
  <c r="E43" i="2"/>
  <c r="E43" i="3"/>
  <c r="E19" i="3"/>
  <c r="C23" i="3"/>
  <c r="E31" i="3"/>
  <c r="C35" i="3"/>
  <c r="C35" i="2"/>
  <c r="E7" i="3"/>
  <c r="D91" i="3"/>
  <c r="E79" i="3"/>
  <c r="C83" i="3"/>
  <c r="E79" i="2"/>
  <c r="C83" i="2"/>
  <c r="C71" i="3"/>
  <c r="E67" i="3"/>
  <c r="C59" i="3"/>
  <c r="E55" i="3"/>
  <c r="D93" i="3"/>
  <c r="E93" i="3" s="1"/>
  <c r="C95" i="2" l="1"/>
  <c r="C11" i="3"/>
  <c r="C47" i="3"/>
  <c r="C11" i="2"/>
  <c r="C71" i="2"/>
  <c r="E55" i="2"/>
  <c r="C60" i="2" s="1"/>
  <c r="C23" i="2"/>
  <c r="C14" i="3"/>
  <c r="C12" i="3"/>
  <c r="C38" i="2"/>
  <c r="C36" i="2"/>
  <c r="C86" i="2"/>
  <c r="C84" i="2"/>
  <c r="C62" i="3"/>
  <c r="C60" i="3"/>
  <c r="C26" i="3"/>
  <c r="C24" i="3"/>
  <c r="C86" i="3"/>
  <c r="C84" i="3"/>
  <c r="C48" i="3"/>
  <c r="C50" i="3"/>
  <c r="C26" i="2"/>
  <c r="C24" i="2"/>
  <c r="C74" i="3"/>
  <c r="C72" i="3"/>
  <c r="C96" i="2"/>
  <c r="C98" i="2"/>
  <c r="C62" i="2"/>
  <c r="C38" i="3"/>
  <c r="C36" i="3"/>
  <c r="C48" i="2"/>
  <c r="C50" i="2"/>
  <c r="C74" i="2"/>
  <c r="C72" i="2"/>
  <c r="C12" i="2"/>
  <c r="C14" i="2"/>
  <c r="C95" i="3"/>
  <c r="E91" i="3"/>
  <c r="C98" i="3" l="1"/>
  <c r="C96" i="3"/>
</calcChain>
</file>

<file path=xl/sharedStrings.xml><?xml version="1.0" encoding="utf-8"?>
<sst xmlns="http://schemas.openxmlformats.org/spreadsheetml/2006/main" count="286" uniqueCount="107">
  <si>
    <t>Date:</t>
  </si>
  <si>
    <t>Request ID:</t>
  </si>
  <si>
    <t>100048502</t>
  </si>
  <si>
    <t>Microwave</t>
  </si>
  <si>
    <t>Element(s)</t>
  </si>
  <si>
    <t>Ca, Cr, Cu, Fe, K, Na, Ni, Zn</t>
  </si>
  <si>
    <t>SOP#</t>
  </si>
  <si>
    <t>Acid Cocktail</t>
  </si>
  <si>
    <t>Rack</t>
  </si>
  <si>
    <t>Vessel</t>
  </si>
  <si>
    <t>Stir</t>
  </si>
  <si>
    <t>Time (min)</t>
  </si>
  <si>
    <t>Power (W)</t>
  </si>
  <si>
    <t>T1 (°C)</t>
  </si>
  <si>
    <t>T2 (°C)</t>
  </si>
  <si>
    <t>P (bar)</t>
  </si>
  <si>
    <t>sample(s)</t>
  </si>
  <si>
    <t>weight (g)</t>
  </si>
  <si>
    <t>volume (mL)</t>
  </si>
  <si>
    <t>200127815_1</t>
  </si>
  <si>
    <t>200127815_2</t>
  </si>
  <si>
    <t>200127815_3</t>
  </si>
  <si>
    <t>200127816_1</t>
  </si>
  <si>
    <t>200127816_2</t>
  </si>
  <si>
    <t>200127816_3</t>
  </si>
  <si>
    <t>Ca ICP analysis</t>
  </si>
  <si>
    <t>sample</t>
  </si>
  <si>
    <t>Dilution</t>
  </si>
  <si>
    <t>conc. [mg/L]</t>
  </si>
  <si>
    <t>Ca_ppm</t>
  </si>
  <si>
    <t>%Ca</t>
  </si>
  <si>
    <t>ca result:</t>
  </si>
  <si>
    <t>ca oxide factor:</t>
  </si>
  <si>
    <t>ca oxide result:</t>
  </si>
  <si>
    <t>ca lot:</t>
  </si>
  <si>
    <t>Cr ICP analysis</t>
  </si>
  <si>
    <t>Cr_ppm</t>
  </si>
  <si>
    <t>%Cr</t>
  </si>
  <si>
    <t>cr result:</t>
  </si>
  <si>
    <t>cr oxide factor:</t>
  </si>
  <si>
    <t>cr oxide result:</t>
  </si>
  <si>
    <t>cr lot:</t>
  </si>
  <si>
    <t>Cu ICP analysis</t>
  </si>
  <si>
    <t>Cu_ppm</t>
  </si>
  <si>
    <t>%Cu</t>
  </si>
  <si>
    <t>cu result:</t>
  </si>
  <si>
    <t>cu oxide factor:</t>
  </si>
  <si>
    <t>cu oxide result:</t>
  </si>
  <si>
    <t>cu lot:</t>
  </si>
  <si>
    <t>Fe ICP analysis</t>
  </si>
  <si>
    <t>Fe_ppm</t>
  </si>
  <si>
    <t>%Fe</t>
  </si>
  <si>
    <t>fe result:</t>
  </si>
  <si>
    <t>fe oxide factor:</t>
  </si>
  <si>
    <t>fe oxide result:</t>
  </si>
  <si>
    <t>fe lot:</t>
  </si>
  <si>
    <t>K ICP analysis</t>
  </si>
  <si>
    <t>K_ppm</t>
  </si>
  <si>
    <t>%K</t>
  </si>
  <si>
    <t>k result:</t>
  </si>
  <si>
    <t>k oxide factor:</t>
  </si>
  <si>
    <t>k oxide result:</t>
  </si>
  <si>
    <t>k lot:</t>
  </si>
  <si>
    <t>Na ICP analysis</t>
  </si>
  <si>
    <t>Na_ppm</t>
  </si>
  <si>
    <t>%Na</t>
  </si>
  <si>
    <t>na result:</t>
  </si>
  <si>
    <t>na oxide factor:</t>
  </si>
  <si>
    <t>na oxide result:</t>
  </si>
  <si>
    <t>na lot:</t>
  </si>
  <si>
    <t>Ni ICP analysis</t>
  </si>
  <si>
    <t>Ni_ppm</t>
  </si>
  <si>
    <t>%Ni</t>
  </si>
  <si>
    <t>ni result:</t>
  </si>
  <si>
    <t>ni oxide factor:</t>
  </si>
  <si>
    <t>ni oxide result:</t>
  </si>
  <si>
    <t>ni lot:</t>
  </si>
  <si>
    <t>Zn ICP analysis</t>
  </si>
  <si>
    <t>Zn_ppm</t>
  </si>
  <si>
    <t>%Zn</t>
  </si>
  <si>
    <t>zn result:</t>
  </si>
  <si>
    <t>zn oxide factor:</t>
  </si>
  <si>
    <t>zn oxide result:</t>
  </si>
  <si>
    <t>zn lot:</t>
  </si>
  <si>
    <t>Note(s):</t>
  </si>
  <si>
    <t>A = crucible</t>
  </si>
  <si>
    <t>B = crucible + sample</t>
  </si>
  <si>
    <t>C = crucible + sample after drying</t>
  </si>
  <si>
    <t>%LOI = ([B-A]-[C-A])/(B-A)*100%</t>
  </si>
  <si>
    <t>ppm M+ = [conc.][volume][dilution]/[weight]</t>
  </si>
  <si>
    <t>%M+ = [conc.][volume][dilution]/([weight]*10,000)</t>
  </si>
  <si>
    <t>%MO = [oxide factor]*%M+</t>
  </si>
  <si>
    <t>ppm M+  [dried] = ppm M+/([1-(%LOI)/100])</t>
  </si>
  <si>
    <t>%M+  [dried] = %M+/([1-(%LOI)/100])</t>
  </si>
  <si>
    <t>%MO [dried] = %MO/([1-(%LOI)/100])</t>
  </si>
  <si>
    <t>%Cr(VI) = (1.733[mL FAS][N FAS])/([weight])</t>
  </si>
  <si>
    <t>%Cr2O3 = 1.462*[%Cr(VI)]</t>
  </si>
  <si>
    <t>%Cr(III) = total_Cr - Cr(VI)</t>
  </si>
  <si>
    <t>PTFE</t>
  </si>
  <si>
    <t>9 mL HCl, 3 mL HNO3, 3 mL H2SO4</t>
  </si>
  <si>
    <t>Manufacturer: Assurance, 28-35CAY exp: 2026-10-30</t>
  </si>
  <si>
    <t>Manufacturer: Assurance, 28-83CUT exp: 2026-09-30</t>
  </si>
  <si>
    <t>Manufacturer: Assurance, 28-75FEY exp: 2026-07-30</t>
  </si>
  <si>
    <t>Manufacturer: Assurance, 28-6KY exp: 2026-08-30</t>
  </si>
  <si>
    <t>Manufacturer: Assurance, 27-159NAY exp: 2026-08-30</t>
  </si>
  <si>
    <t>Manufacturer: Assurance, 28-130NIT exp: 2026-10-30</t>
  </si>
  <si>
    <t>Manufacturer: Assurance, 28-58ZNY exp: 2026-10-30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</si>
</sst>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00"/>
    <numFmt numFmtId="167" formatCode="0.00&quot; ppm&quot;"/>
    <numFmt numFmtId="168" formatCode="0.00&quot; %&quot;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0" fontId="1" fillId="0" borderId="1" xfId="0" applyFont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left"/>
    </xf>
    <xf numFmtId="166" fontId="0" fillId="0" borderId="1" xfId="0" applyNumberFormat="1" applyBorder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righ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9" fontId="0" fillId="0" borderId="1" xfId="0" applyNumberFormat="1" applyBorder="1" applyAlignment="1">
      <alignment horizontal="left"/>
    </xf>
    <xf numFmtId="0" fontId="0" fillId="2" borderId="0" xfId="0" applyFill="1" applyAlignment="1">
      <alignment horizontal="right"/>
    </xf>
    <xf numFmtId="167" fontId="0" fillId="2" borderId="0" xfId="0" applyNumberFormat="1" applyFill="1" applyAlignment="1">
      <alignment horizontal="left"/>
    </xf>
    <xf numFmtId="0" fontId="0" fillId="0" borderId="0" xfId="0" applyFill="1" applyAlignment="1">
      <alignment horizontal="right"/>
    </xf>
    <xf numFmtId="167" fontId="0" fillId="0" borderId="0" xfId="0" applyNumberFormat="1" applyFill="1" applyAlignment="1">
      <alignment horizontal="left"/>
    </xf>
  </cellXfs>
  <cellStyles count="1">
    <cellStyle name="Normal" xfId="0" builtinId="0"/>
  </cellStyles>
  <dxfs count="23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workbookViewId="0">
      <selection activeCell="B26" sqref="B26"/>
    </sheetView>
  </sheetViews>
  <sheetFormatPr defaultRowHeight="15" x14ac:dyDescent="0.25"/>
  <cols>
    <col min="1" max="1" width="12.28515625" bestFit="1" customWidth="1"/>
    <col min="2" max="2" width="24.140625" bestFit="1" customWidth="1"/>
    <col min="3" max="3" width="12.140625" bestFit="1" customWidth="1"/>
    <col min="4" max="4" width="7.140625" bestFit="1" customWidth="1"/>
    <col min="5" max="5" width="6.85546875" bestFit="1" customWidth="1"/>
  </cols>
  <sheetData>
    <row r="1" spans="1:5" x14ac:dyDescent="0.25">
      <c r="A1" s="1" t="s">
        <v>0</v>
      </c>
      <c r="B1" s="2">
        <v>46153</v>
      </c>
    </row>
    <row r="2" spans="1:5" x14ac:dyDescent="0.25">
      <c r="A2" s="1" t="s">
        <v>1</v>
      </c>
      <c r="B2" t="s">
        <v>2</v>
      </c>
    </row>
    <row r="5" spans="1:5" x14ac:dyDescent="0.25">
      <c r="A5" s="16" t="s">
        <v>3</v>
      </c>
      <c r="B5" s="16"/>
      <c r="C5" s="16"/>
      <c r="D5" s="16"/>
      <c r="E5" s="16"/>
    </row>
    <row r="6" spans="1:5" x14ac:dyDescent="0.25">
      <c r="A6" s="3" t="s">
        <v>4</v>
      </c>
      <c r="B6" s="14" t="s">
        <v>5</v>
      </c>
      <c r="C6" s="14"/>
      <c r="D6" s="14"/>
      <c r="E6" s="14"/>
    </row>
    <row r="7" spans="1:5" x14ac:dyDescent="0.25">
      <c r="A7" s="3" t="s">
        <v>6</v>
      </c>
      <c r="B7" s="14"/>
      <c r="C7" s="14"/>
      <c r="D7" s="14"/>
      <c r="E7" s="14"/>
    </row>
    <row r="8" spans="1:5" x14ac:dyDescent="0.25">
      <c r="A8" s="3" t="s">
        <v>7</v>
      </c>
      <c r="B8" s="14" t="s">
        <v>99</v>
      </c>
      <c r="C8" s="14"/>
      <c r="D8" s="14"/>
      <c r="E8" s="14"/>
    </row>
    <row r="9" spans="1:5" x14ac:dyDescent="0.25">
      <c r="A9" s="3" t="s">
        <v>8</v>
      </c>
      <c r="B9" s="15">
        <v>7</v>
      </c>
      <c r="C9" s="15"/>
      <c r="D9" s="15"/>
      <c r="E9" s="15"/>
    </row>
    <row r="10" spans="1:5" x14ac:dyDescent="0.25">
      <c r="A10" s="3" t="s">
        <v>9</v>
      </c>
      <c r="B10" s="14" t="s">
        <v>98</v>
      </c>
      <c r="C10" s="14"/>
      <c r="D10" s="14"/>
      <c r="E10" s="14"/>
    </row>
    <row r="11" spans="1:5" x14ac:dyDescent="0.25">
      <c r="A11" s="3" t="s">
        <v>10</v>
      </c>
      <c r="B11" s="21">
        <v>0.9</v>
      </c>
      <c r="C11" s="15"/>
      <c r="D11" s="15"/>
      <c r="E11" s="15"/>
    </row>
    <row r="12" spans="1:5" x14ac:dyDescent="0.25">
      <c r="A12" s="3" t="s">
        <v>11</v>
      </c>
      <c r="B12" s="3" t="s">
        <v>12</v>
      </c>
      <c r="C12" s="3" t="s">
        <v>13</v>
      </c>
      <c r="D12" s="3" t="s">
        <v>14</v>
      </c>
      <c r="E12" s="3" t="s">
        <v>15</v>
      </c>
    </row>
    <row r="13" spans="1:5" x14ac:dyDescent="0.25">
      <c r="A13" s="4">
        <v>15</v>
      </c>
      <c r="B13" s="4">
        <v>1200</v>
      </c>
      <c r="C13" s="4">
        <v>180</v>
      </c>
      <c r="D13" s="4">
        <v>65</v>
      </c>
      <c r="E13" s="4">
        <v>110</v>
      </c>
    </row>
    <row r="14" spans="1:5" x14ac:dyDescent="0.25">
      <c r="A14" s="4">
        <v>15</v>
      </c>
      <c r="B14" s="4">
        <v>1500</v>
      </c>
      <c r="C14" s="4">
        <v>240</v>
      </c>
      <c r="D14" s="4">
        <v>65</v>
      </c>
      <c r="E14" s="4">
        <v>110</v>
      </c>
    </row>
    <row r="15" spans="1:5" x14ac:dyDescent="0.25">
      <c r="A15" s="4">
        <v>30</v>
      </c>
      <c r="B15" s="4">
        <v>1500</v>
      </c>
      <c r="C15" s="4">
        <v>240</v>
      </c>
      <c r="D15" s="4">
        <v>65</v>
      </c>
      <c r="E15" s="4">
        <v>110</v>
      </c>
    </row>
    <row r="16" spans="1:5" x14ac:dyDescent="0.25">
      <c r="A16" s="3" t="s">
        <v>16</v>
      </c>
      <c r="B16" s="3" t="s">
        <v>17</v>
      </c>
      <c r="C16" s="3" t="s">
        <v>18</v>
      </c>
    </row>
    <row r="17" spans="1:3" x14ac:dyDescent="0.25">
      <c r="A17" s="3" t="s">
        <v>19</v>
      </c>
      <c r="B17" s="5">
        <v>1.0044999999999999</v>
      </c>
      <c r="C17" s="4">
        <v>50</v>
      </c>
    </row>
    <row r="18" spans="1:3" x14ac:dyDescent="0.25">
      <c r="A18" s="3" t="s">
        <v>20</v>
      </c>
      <c r="B18" s="5">
        <v>1.0017</v>
      </c>
      <c r="C18" s="4">
        <v>50</v>
      </c>
    </row>
    <row r="19" spans="1:3" x14ac:dyDescent="0.25">
      <c r="A19" s="3" t="s">
        <v>21</v>
      </c>
      <c r="B19" s="5">
        <v>1.0118</v>
      </c>
      <c r="C19" s="4">
        <v>50</v>
      </c>
    </row>
    <row r="20" spans="1:3" x14ac:dyDescent="0.25">
      <c r="A20" s="3" t="s">
        <v>22</v>
      </c>
      <c r="B20" s="5">
        <v>1.5011000000000001</v>
      </c>
      <c r="C20" s="4">
        <v>50</v>
      </c>
    </row>
    <row r="21" spans="1:3" x14ac:dyDescent="0.25">
      <c r="A21" s="3" t="s">
        <v>23</v>
      </c>
      <c r="B21" s="5">
        <v>1.5053000000000001</v>
      </c>
      <c r="C21" s="4">
        <v>50</v>
      </c>
    </row>
    <row r="22" spans="1:3" x14ac:dyDescent="0.25">
      <c r="A22" s="3" t="s">
        <v>24</v>
      </c>
      <c r="B22" s="5">
        <v>1.5019</v>
      </c>
      <c r="C22" s="4">
        <v>50</v>
      </c>
    </row>
  </sheetData>
  <mergeCells count="7">
    <mergeCell ref="B10:E10"/>
    <mergeCell ref="B11:E11"/>
    <mergeCell ref="A5:E5"/>
    <mergeCell ref="B6:E6"/>
    <mergeCell ref="B7:E7"/>
    <mergeCell ref="B8:E8"/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"/>
  <sheetViews>
    <sheetView topLeftCell="A76" workbookViewId="0">
      <selection activeCell="C99" sqref="C99:F99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12.7109375" customWidth="1"/>
    <col min="4" max="4" width="8.42578125" bestFit="1" customWidth="1"/>
    <col min="5" max="5" width="5" bestFit="1" customWidth="1"/>
    <col min="6" max="6" width="21.28515625" customWidth="1"/>
  </cols>
  <sheetData>
    <row r="1" spans="1:9" x14ac:dyDescent="0.25">
      <c r="A1" s="1" t="s">
        <v>0</v>
      </c>
      <c r="B1" s="2">
        <v>46153</v>
      </c>
    </row>
    <row r="2" spans="1:9" x14ac:dyDescent="0.25">
      <c r="A2" s="1" t="s">
        <v>1</v>
      </c>
      <c r="B2" t="s">
        <v>2</v>
      </c>
    </row>
    <row r="5" spans="1:9" x14ac:dyDescent="0.25">
      <c r="A5" s="20" t="s">
        <v>25</v>
      </c>
      <c r="B5" s="20"/>
    </row>
    <row r="6" spans="1:9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</row>
    <row r="7" spans="1:9" x14ac:dyDescent="0.25">
      <c r="A7" s="3" t="s">
        <v>19</v>
      </c>
      <c r="B7" s="4" t="str">
        <f>"1/1"</f>
        <v>1/1</v>
      </c>
      <c r="C7" s="7">
        <v>1.476</v>
      </c>
      <c r="D7" s="8">
        <f>((C7)*(H7)*(I7))/(G7*1)</f>
        <v>73.469387755102048</v>
      </c>
      <c r="E7" s="8">
        <f>D7/10000</f>
        <v>7.3469387755102046E-3</v>
      </c>
      <c r="G7" s="9">
        <f>digestion_page!B17</f>
        <v>1.0044999999999999</v>
      </c>
      <c r="H7" s="9">
        <f>digestion_page!C17</f>
        <v>50</v>
      </c>
      <c r="I7" s="9">
        <f>(LEFT(B7,FIND("/",B7)-1)/RIGHT(B7,LEN(B7)-FIND("/", B7)))</f>
        <v>1</v>
      </c>
    </row>
    <row r="8" spans="1:9" x14ac:dyDescent="0.25">
      <c r="A8" s="3" t="s">
        <v>20</v>
      </c>
      <c r="B8" s="4" t="str">
        <f>"1/1"</f>
        <v>1/1</v>
      </c>
      <c r="C8" s="7">
        <v>1.474</v>
      </c>
      <c r="D8" s="8">
        <f>((C8)*(H8)*(I8))/(G8*1)</f>
        <v>73.574922631526405</v>
      </c>
      <c r="E8" s="8">
        <f>D8/10000</f>
        <v>7.3574922631526405E-3</v>
      </c>
      <c r="G8" s="9">
        <f>digestion_page!B18</f>
        <v>1.0017</v>
      </c>
      <c r="H8" s="9">
        <f>digestion_page!C18</f>
        <v>50</v>
      </c>
      <c r="I8" s="9">
        <f>(LEFT(B8,FIND("/",B8)-1)/RIGHT(B8,LEN(B8)-FIND("/", B8)))</f>
        <v>1</v>
      </c>
    </row>
    <row r="9" spans="1:9" x14ac:dyDescent="0.25">
      <c r="A9" s="3" t="s">
        <v>21</v>
      </c>
      <c r="B9" s="4" t="str">
        <f>"1/1"</f>
        <v>1/1</v>
      </c>
      <c r="C9" s="7">
        <v>1.55</v>
      </c>
      <c r="D9" s="8">
        <f>((C9)*(H9)*(I9))/(G9*1)</f>
        <v>76.59616525004941</v>
      </c>
      <c r="E9" s="8">
        <f>D9/10000</f>
        <v>7.6596165250049407E-3</v>
      </c>
      <c r="G9" s="9">
        <f>digestion_page!B19</f>
        <v>1.0118</v>
      </c>
      <c r="H9" s="9">
        <f>digestion_page!C19</f>
        <v>50</v>
      </c>
      <c r="I9" s="9">
        <f>(LEFT(B9,FIND("/",B9)-1)/RIGHT(B9,LEN(B9)-FIND("/", B9)))</f>
        <v>1</v>
      </c>
    </row>
    <row r="11" spans="1:9" x14ac:dyDescent="0.25">
      <c r="A11" s="22" t="s">
        <v>31</v>
      </c>
      <c r="B11" s="22"/>
      <c r="C11" s="23">
        <f>AVERAGE(D7:D9)</f>
        <v>74.546825212225954</v>
      </c>
    </row>
    <row r="12" spans="1:9" x14ac:dyDescent="0.25">
      <c r="A12" s="19" t="s">
        <v>31</v>
      </c>
      <c r="B12" s="19"/>
      <c r="C12" s="12">
        <f>AVERAGE(E7:E9)</f>
        <v>7.4546825212225944E-3</v>
      </c>
    </row>
    <row r="13" spans="1:9" x14ac:dyDescent="0.25">
      <c r="A13" s="19" t="s">
        <v>32</v>
      </c>
      <c r="B13" s="19"/>
      <c r="C13" s="6"/>
    </row>
    <row r="14" spans="1:9" x14ac:dyDescent="0.25">
      <c r="A14" s="19" t="s">
        <v>33</v>
      </c>
      <c r="B14" s="19"/>
      <c r="C14" s="12">
        <f>AVERAGE(E7:E9)*(C13)</f>
        <v>0</v>
      </c>
    </row>
    <row r="15" spans="1:9" x14ac:dyDescent="0.25">
      <c r="A15" s="19" t="s">
        <v>34</v>
      </c>
      <c r="B15" s="19"/>
      <c r="C15" s="17" t="s">
        <v>100</v>
      </c>
      <c r="D15" s="17"/>
      <c r="E15" s="17"/>
      <c r="F15" s="17"/>
    </row>
    <row r="17" spans="1:9" x14ac:dyDescent="0.25">
      <c r="A17" s="20" t="s">
        <v>35</v>
      </c>
      <c r="B17" s="20"/>
    </row>
    <row r="18" spans="1:9" x14ac:dyDescent="0.25">
      <c r="A18" s="3" t="s">
        <v>26</v>
      </c>
      <c r="B18" s="3" t="s">
        <v>27</v>
      </c>
      <c r="C18" s="3" t="s">
        <v>28</v>
      </c>
      <c r="D18" s="3" t="s">
        <v>36</v>
      </c>
      <c r="E18" s="3" t="s">
        <v>37</v>
      </c>
    </row>
    <row r="19" spans="1:9" x14ac:dyDescent="0.25">
      <c r="A19" s="3" t="s">
        <v>19</v>
      </c>
      <c r="B19" s="4" t="str">
        <f>"1/1"</f>
        <v>1/1</v>
      </c>
      <c r="C19" s="7">
        <v>0.13900000000000001</v>
      </c>
      <c r="D19" s="8">
        <f>((C19)*(H19)*(I19))/(G19*1)</f>
        <v>6.9188651070184184</v>
      </c>
      <c r="E19" s="8">
        <f>D19/10000</f>
        <v>6.9188651070184188E-4</v>
      </c>
      <c r="G19" s="9">
        <f>digestion_page!B17</f>
        <v>1.0044999999999999</v>
      </c>
      <c r="H19" s="9">
        <f>digestion_page!C17</f>
        <v>50</v>
      </c>
      <c r="I19" s="9">
        <f>(LEFT(B19,FIND("/",B19)-1)/RIGHT(B19,LEN(B19)-FIND("/", B19)))</f>
        <v>1</v>
      </c>
    </row>
    <row r="20" spans="1:9" x14ac:dyDescent="0.25">
      <c r="A20" s="3" t="s">
        <v>20</v>
      </c>
      <c r="B20" s="4" t="str">
        <f>"1/1"</f>
        <v>1/1</v>
      </c>
      <c r="C20" s="7">
        <v>0.13800000000000001</v>
      </c>
      <c r="D20" s="8">
        <f>((C20)*(H20)*(I20))/(G20*1)</f>
        <v>6.8882899071578318</v>
      </c>
      <c r="E20" s="8">
        <f>D20/10000</f>
        <v>6.8882899071578323E-4</v>
      </c>
      <c r="G20" s="9">
        <f>digestion_page!B18</f>
        <v>1.0017</v>
      </c>
      <c r="H20" s="9">
        <f>digestion_page!C18</f>
        <v>50</v>
      </c>
      <c r="I20" s="9">
        <f>(LEFT(B20,FIND("/",B20)-1)/RIGHT(B20,LEN(B20)-FIND("/", B20)))</f>
        <v>1</v>
      </c>
    </row>
    <row r="21" spans="1:9" x14ac:dyDescent="0.25">
      <c r="A21" s="3" t="s">
        <v>21</v>
      </c>
      <c r="B21" s="4" t="str">
        <f>"1/1"</f>
        <v>1/1</v>
      </c>
      <c r="C21" s="7">
        <v>0.14299999999999999</v>
      </c>
      <c r="D21" s="8">
        <f>((C21)*(H21)*(I21))/(G21*1)</f>
        <v>7.0666139553271394</v>
      </c>
      <c r="E21" s="8">
        <f>D21/10000</f>
        <v>7.0666139553271392E-4</v>
      </c>
      <c r="G21" s="9">
        <f>digestion_page!B19</f>
        <v>1.0118</v>
      </c>
      <c r="H21" s="9">
        <f>digestion_page!C19</f>
        <v>50</v>
      </c>
      <c r="I21" s="9">
        <f>(LEFT(B21,FIND("/",B21)-1)/RIGHT(B21,LEN(B21)-FIND("/", B21)))</f>
        <v>1</v>
      </c>
    </row>
    <row r="23" spans="1:9" x14ac:dyDescent="0.25">
      <c r="A23" s="22" t="s">
        <v>38</v>
      </c>
      <c r="B23" s="22"/>
      <c r="C23" s="23">
        <f>AVERAGE(D19:D21)</f>
        <v>6.9579229898344623</v>
      </c>
    </row>
    <row r="24" spans="1:9" x14ac:dyDescent="0.25">
      <c r="A24" s="19" t="s">
        <v>38</v>
      </c>
      <c r="B24" s="19"/>
      <c r="C24" s="12">
        <f>AVERAGE(E19:E21)</f>
        <v>6.9579229898344627E-4</v>
      </c>
    </row>
    <row r="25" spans="1:9" x14ac:dyDescent="0.25">
      <c r="A25" s="19" t="s">
        <v>39</v>
      </c>
      <c r="B25" s="19"/>
      <c r="C25" s="6"/>
    </row>
    <row r="26" spans="1:9" x14ac:dyDescent="0.25">
      <c r="A26" s="19" t="s">
        <v>40</v>
      </c>
      <c r="B26" s="19"/>
      <c r="C26" s="12">
        <f>AVERAGE(E19:E21)*(C25)</f>
        <v>0</v>
      </c>
    </row>
    <row r="27" spans="1:9" x14ac:dyDescent="0.25">
      <c r="A27" s="19" t="s">
        <v>41</v>
      </c>
      <c r="B27" s="19"/>
      <c r="C27" s="17"/>
      <c r="D27" s="17"/>
      <c r="E27" s="17"/>
      <c r="F27" s="17"/>
    </row>
    <row r="29" spans="1:9" x14ac:dyDescent="0.25">
      <c r="A29" s="20" t="s">
        <v>42</v>
      </c>
      <c r="B29" s="20"/>
    </row>
    <row r="30" spans="1:9" x14ac:dyDescent="0.25">
      <c r="A30" s="3" t="s">
        <v>26</v>
      </c>
      <c r="B30" s="3" t="s">
        <v>27</v>
      </c>
      <c r="C30" s="3" t="s">
        <v>28</v>
      </c>
      <c r="D30" s="3" t="s">
        <v>43</v>
      </c>
      <c r="E30" s="3" t="s">
        <v>44</v>
      </c>
    </row>
    <row r="31" spans="1:9" x14ac:dyDescent="0.25">
      <c r="A31" s="3" t="s">
        <v>19</v>
      </c>
      <c r="B31" s="4" t="str">
        <f>"1/1"</f>
        <v>1/1</v>
      </c>
      <c r="C31" s="7">
        <v>0.73099999999999998</v>
      </c>
      <c r="D31" s="8">
        <f>((C31)*(H31)*(I31))/(G31*1)</f>
        <v>36.386261821801888</v>
      </c>
      <c r="E31" s="8">
        <f>D31/10000</f>
        <v>3.6386261821801887E-3</v>
      </c>
      <c r="G31" s="9">
        <f>digestion_page!B17</f>
        <v>1.0044999999999999</v>
      </c>
      <c r="H31" s="9">
        <f>digestion_page!C17</f>
        <v>50</v>
      </c>
      <c r="I31" s="9">
        <f>(LEFT(B31,FIND("/",B31)-1)/RIGHT(B31,LEN(B31)-FIND("/", B31)))</f>
        <v>1</v>
      </c>
    </row>
    <row r="32" spans="1:9" x14ac:dyDescent="0.25">
      <c r="A32" s="3" t="s">
        <v>20</v>
      </c>
      <c r="B32" s="4" t="str">
        <f>"1/1"</f>
        <v>1/1</v>
      </c>
      <c r="C32" s="7">
        <v>0.73299999999999998</v>
      </c>
      <c r="D32" s="8">
        <f>((C32)*(H32)*(I32))/(G32*1)</f>
        <v>36.587800738744136</v>
      </c>
      <c r="E32" s="8">
        <f>D32/10000</f>
        <v>3.6587800738744135E-3</v>
      </c>
      <c r="G32" s="9">
        <f>digestion_page!B18</f>
        <v>1.0017</v>
      </c>
      <c r="H32" s="9">
        <f>digestion_page!C18</f>
        <v>50</v>
      </c>
      <c r="I32" s="9">
        <f>(LEFT(B32,FIND("/",B32)-1)/RIGHT(B32,LEN(B32)-FIND("/", B32)))</f>
        <v>1</v>
      </c>
    </row>
    <row r="33" spans="1:9" x14ac:dyDescent="0.25">
      <c r="A33" s="3" t="s">
        <v>21</v>
      </c>
      <c r="B33" s="4" t="str">
        <f>"1/1"</f>
        <v>1/1</v>
      </c>
      <c r="C33" s="7"/>
      <c r="D33" s="8">
        <f>((C33)*(H33)*(I33))/(G33*1)</f>
        <v>0</v>
      </c>
      <c r="E33" s="8">
        <f>D33/10000</f>
        <v>0</v>
      </c>
      <c r="G33" s="9">
        <f>digestion_page!B19</f>
        <v>1.0118</v>
      </c>
      <c r="H33" s="9">
        <f>digestion_page!C19</f>
        <v>50</v>
      </c>
      <c r="I33" s="9">
        <f>(LEFT(B33,FIND("/",B33)-1)/RIGHT(B33,LEN(B33)-FIND("/", B33)))</f>
        <v>1</v>
      </c>
    </row>
    <row r="35" spans="1:9" x14ac:dyDescent="0.25">
      <c r="A35" s="22" t="s">
        <v>45</v>
      </c>
      <c r="B35" s="22"/>
      <c r="C35" s="23">
        <f>AVERAGE(D31:D33)</f>
        <v>24.32468752018201</v>
      </c>
    </row>
    <row r="36" spans="1:9" x14ac:dyDescent="0.25">
      <c r="A36" s="19" t="s">
        <v>45</v>
      </c>
      <c r="B36" s="19"/>
      <c r="C36" s="12">
        <f>AVERAGE(E31:E33)</f>
        <v>2.4324687520182009E-3</v>
      </c>
    </row>
    <row r="37" spans="1:9" x14ac:dyDescent="0.25">
      <c r="A37" s="19" t="s">
        <v>46</v>
      </c>
      <c r="B37" s="19"/>
      <c r="C37" s="6"/>
    </row>
    <row r="38" spans="1:9" x14ac:dyDescent="0.25">
      <c r="A38" s="19" t="s">
        <v>47</v>
      </c>
      <c r="B38" s="19"/>
      <c r="C38" s="12">
        <f>AVERAGE(E31:E33)*(C37)</f>
        <v>0</v>
      </c>
    </row>
    <row r="39" spans="1:9" x14ac:dyDescent="0.25">
      <c r="A39" s="19" t="s">
        <v>48</v>
      </c>
      <c r="B39" s="19"/>
      <c r="C39" s="17" t="s">
        <v>101</v>
      </c>
      <c r="D39" s="17"/>
      <c r="E39" s="17"/>
      <c r="F39" s="17"/>
    </row>
    <row r="41" spans="1:9" x14ac:dyDescent="0.25">
      <c r="A41" s="20" t="s">
        <v>49</v>
      </c>
      <c r="B41" s="20"/>
    </row>
    <row r="42" spans="1:9" x14ac:dyDescent="0.25">
      <c r="A42" s="3" t="s">
        <v>26</v>
      </c>
      <c r="B42" s="3" t="s">
        <v>27</v>
      </c>
      <c r="C42" s="3" t="s">
        <v>28</v>
      </c>
      <c r="D42" s="3" t="s">
        <v>50</v>
      </c>
      <c r="E42" s="3" t="s">
        <v>51</v>
      </c>
    </row>
    <row r="43" spans="1:9" x14ac:dyDescent="0.25">
      <c r="A43" s="3" t="s">
        <v>19</v>
      </c>
      <c r="B43" s="4" t="str">
        <f>"1/1"</f>
        <v>1/1</v>
      </c>
      <c r="C43" s="7">
        <v>0.878</v>
      </c>
      <c r="D43" s="8">
        <f>((C43)*(H43)*(I43))/(G43*1)</f>
        <v>43.703334992533598</v>
      </c>
      <c r="E43" s="8">
        <f>D43/10000</f>
        <v>4.3703334992533597E-3</v>
      </c>
      <c r="G43" s="9">
        <f>digestion_page!B17</f>
        <v>1.0044999999999999</v>
      </c>
      <c r="H43" s="9">
        <f>digestion_page!C17</f>
        <v>50</v>
      </c>
      <c r="I43" s="9">
        <f>(LEFT(B43,FIND("/",B43)-1)/RIGHT(B43,LEN(B43)-FIND("/", B43)))</f>
        <v>1</v>
      </c>
    </row>
    <row r="44" spans="1:9" x14ac:dyDescent="0.25">
      <c r="A44" s="3" t="s">
        <v>20</v>
      </c>
      <c r="B44" s="4" t="str">
        <f>"1/1"</f>
        <v>1/1</v>
      </c>
      <c r="C44" s="7">
        <v>0.81899999999999995</v>
      </c>
      <c r="D44" s="8">
        <f>((C44)*(H44)*(I44))/(G44*1)</f>
        <v>40.880503144654085</v>
      </c>
      <c r="E44" s="8">
        <f>D44/10000</f>
        <v>4.0880503144654088E-3</v>
      </c>
      <c r="G44" s="9">
        <f>digestion_page!B18</f>
        <v>1.0017</v>
      </c>
      <c r="H44" s="9">
        <f>digestion_page!C18</f>
        <v>50</v>
      </c>
      <c r="I44" s="9">
        <f>(LEFT(B44,FIND("/",B44)-1)/RIGHT(B44,LEN(B44)-FIND("/", B44)))</f>
        <v>1</v>
      </c>
    </row>
    <row r="45" spans="1:9" x14ac:dyDescent="0.25">
      <c r="A45" s="3" t="s">
        <v>21</v>
      </c>
      <c r="B45" s="4" t="str">
        <f>"1/1"</f>
        <v>1/1</v>
      </c>
      <c r="C45" s="7">
        <v>0.81200000000000006</v>
      </c>
      <c r="D45" s="8">
        <f>((C45)*(H45)*(I45))/(G45*1)</f>
        <v>40.126507214864596</v>
      </c>
      <c r="E45" s="8">
        <f>D45/10000</f>
        <v>4.0126507214864595E-3</v>
      </c>
      <c r="G45" s="9">
        <f>digestion_page!B19</f>
        <v>1.0118</v>
      </c>
      <c r="H45" s="9">
        <f>digestion_page!C19</f>
        <v>50</v>
      </c>
      <c r="I45" s="9">
        <f>(LEFT(B45,FIND("/",B45)-1)/RIGHT(B45,LEN(B45)-FIND("/", B45)))</f>
        <v>1</v>
      </c>
    </row>
    <row r="47" spans="1:9" x14ac:dyDescent="0.25">
      <c r="A47" s="22" t="s">
        <v>52</v>
      </c>
      <c r="B47" s="22"/>
      <c r="C47" s="23">
        <f>AVERAGE(D43:D45)</f>
        <v>41.57011511735076</v>
      </c>
    </row>
    <row r="48" spans="1:9" x14ac:dyDescent="0.25">
      <c r="A48" s="19" t="s">
        <v>52</v>
      </c>
      <c r="B48" s="19"/>
      <c r="C48" s="12">
        <f>AVERAGE(E43:E45)</f>
        <v>4.1570115117350766E-3</v>
      </c>
    </row>
    <row r="49" spans="1:9" x14ac:dyDescent="0.25">
      <c r="A49" s="19" t="s">
        <v>53</v>
      </c>
      <c r="B49" s="19"/>
      <c r="C49" s="6"/>
    </row>
    <row r="50" spans="1:9" x14ac:dyDescent="0.25">
      <c r="A50" s="19" t="s">
        <v>54</v>
      </c>
      <c r="B50" s="19"/>
      <c r="C50" s="12">
        <f>AVERAGE(E43:E45)*(C49)</f>
        <v>0</v>
      </c>
    </row>
    <row r="51" spans="1:9" x14ac:dyDescent="0.25">
      <c r="A51" s="19" t="s">
        <v>55</v>
      </c>
      <c r="B51" s="19"/>
      <c r="C51" s="17" t="s">
        <v>102</v>
      </c>
      <c r="D51" s="17"/>
      <c r="E51" s="17"/>
      <c r="F51" s="17"/>
    </row>
    <row r="53" spans="1:9" x14ac:dyDescent="0.25">
      <c r="A53" s="20" t="s">
        <v>56</v>
      </c>
      <c r="B53" s="20"/>
    </row>
    <row r="54" spans="1:9" x14ac:dyDescent="0.25">
      <c r="A54" s="3" t="s">
        <v>26</v>
      </c>
      <c r="B54" s="3" t="s">
        <v>27</v>
      </c>
      <c r="C54" s="3" t="s">
        <v>28</v>
      </c>
      <c r="D54" s="3" t="s">
        <v>57</v>
      </c>
      <c r="E54" s="3" t="s">
        <v>58</v>
      </c>
    </row>
    <row r="55" spans="1:9" x14ac:dyDescent="0.25">
      <c r="A55" s="3" t="s">
        <v>19</v>
      </c>
      <c r="B55" s="4" t="str">
        <f>"1/1"</f>
        <v>1/1</v>
      </c>
      <c r="C55" s="7">
        <v>0.97499999999999998</v>
      </c>
      <c r="D55" s="8">
        <f>((C55)*(H55)*(I55))/(G55*1)</f>
        <v>48.531607765057245</v>
      </c>
      <c r="E55" s="8">
        <f>D55/10000</f>
        <v>4.8531607765057248E-3</v>
      </c>
      <c r="G55" s="9">
        <f>digestion_page!B17</f>
        <v>1.0044999999999999</v>
      </c>
      <c r="H55" s="9">
        <f>digestion_page!C17</f>
        <v>50</v>
      </c>
      <c r="I55" s="9">
        <f>(LEFT(B55,FIND("/",B55)-1)/RIGHT(B55,LEN(B55)-FIND("/", B55)))</f>
        <v>1</v>
      </c>
    </row>
    <row r="56" spans="1:9" x14ac:dyDescent="0.25">
      <c r="A56" s="3" t="s">
        <v>20</v>
      </c>
      <c r="B56" s="4" t="str">
        <f>"1/1"</f>
        <v>1/1</v>
      </c>
      <c r="C56" s="7">
        <v>0.79300000000000004</v>
      </c>
      <c r="D56" s="8">
        <f>((C56)*(H56)*(I56))/(G56*1)</f>
        <v>39.582709394030147</v>
      </c>
      <c r="E56" s="8">
        <f>D56/10000</f>
        <v>3.9582709394030144E-3</v>
      </c>
      <c r="G56" s="9">
        <f>digestion_page!B18</f>
        <v>1.0017</v>
      </c>
      <c r="H56" s="9">
        <f>digestion_page!C18</f>
        <v>50</v>
      </c>
      <c r="I56" s="9">
        <f>(LEFT(B56,FIND("/",B56)-1)/RIGHT(B56,LEN(B56)-FIND("/", B56)))</f>
        <v>1</v>
      </c>
    </row>
    <row r="57" spans="1:9" x14ac:dyDescent="0.25">
      <c r="A57" s="3" t="s">
        <v>21</v>
      </c>
      <c r="B57" s="4" t="str">
        <f>"1/1"</f>
        <v>1/1</v>
      </c>
      <c r="C57" s="7"/>
      <c r="D57" s="8">
        <f>((C57)*(H57)*(I57))/(G57*1)</f>
        <v>0</v>
      </c>
      <c r="E57" s="8">
        <f>D57/10000</f>
        <v>0</v>
      </c>
      <c r="G57" s="9">
        <f>digestion_page!B19</f>
        <v>1.0118</v>
      </c>
      <c r="H57" s="9">
        <f>digestion_page!C19</f>
        <v>50</v>
      </c>
      <c r="I57" s="9">
        <f>(LEFT(B57,FIND("/",B57)-1)/RIGHT(B57,LEN(B57)-FIND("/", B57)))</f>
        <v>1</v>
      </c>
    </row>
    <row r="59" spans="1:9" x14ac:dyDescent="0.25">
      <c r="A59" s="24" t="s">
        <v>59</v>
      </c>
      <c r="B59" s="24"/>
      <c r="C59" s="25">
        <f>AVERAGE(D55:D57)</f>
        <v>29.371439053029132</v>
      </c>
    </row>
    <row r="60" spans="1:9" x14ac:dyDescent="0.25">
      <c r="A60" s="19" t="s">
        <v>59</v>
      </c>
      <c r="B60" s="19"/>
      <c r="C60" s="12">
        <f>AVERAGE(E55:E57)</f>
        <v>2.9371439053029135E-3</v>
      </c>
    </row>
    <row r="61" spans="1:9" x14ac:dyDescent="0.25">
      <c r="A61" s="19" t="s">
        <v>60</v>
      </c>
      <c r="B61" s="19"/>
      <c r="C61" s="6"/>
    </row>
    <row r="62" spans="1:9" x14ac:dyDescent="0.25">
      <c r="A62" s="19" t="s">
        <v>61</v>
      </c>
      <c r="B62" s="19"/>
      <c r="C62" s="12">
        <f>AVERAGE(E55:E57)*(C61)</f>
        <v>0</v>
      </c>
    </row>
    <row r="63" spans="1:9" x14ac:dyDescent="0.25">
      <c r="A63" s="19" t="s">
        <v>62</v>
      </c>
      <c r="B63" s="19"/>
      <c r="C63" s="17" t="s">
        <v>103</v>
      </c>
      <c r="D63" s="17"/>
      <c r="E63" s="17"/>
      <c r="F63" s="17"/>
    </row>
    <row r="65" spans="1:9" x14ac:dyDescent="0.25">
      <c r="A65" s="20" t="s">
        <v>63</v>
      </c>
      <c r="B65" s="20"/>
    </row>
    <row r="66" spans="1:9" x14ac:dyDescent="0.25">
      <c r="A66" s="3" t="s">
        <v>26</v>
      </c>
      <c r="B66" s="3" t="s">
        <v>27</v>
      </c>
      <c r="C66" s="3" t="s">
        <v>28</v>
      </c>
      <c r="D66" s="3" t="s">
        <v>64</v>
      </c>
      <c r="E66" s="3" t="s">
        <v>65</v>
      </c>
    </row>
    <row r="67" spans="1:9" x14ac:dyDescent="0.25">
      <c r="A67" s="3" t="s">
        <v>19</v>
      </c>
      <c r="B67" s="4" t="str">
        <f>"25/4"</f>
        <v>25/4</v>
      </c>
      <c r="C67" s="7">
        <v>0.66800000000000004</v>
      </c>
      <c r="D67" s="8">
        <f>((C67)*(H67)*(I67))/(G67*1)</f>
        <v>207.81483325037334</v>
      </c>
      <c r="E67" s="8">
        <f>D67/10000</f>
        <v>2.0781483325037334E-2</v>
      </c>
      <c r="G67" s="9">
        <f>digestion_page!B17</f>
        <v>1.0044999999999999</v>
      </c>
      <c r="H67" s="9">
        <f>digestion_page!C17</f>
        <v>50</v>
      </c>
      <c r="I67" s="9">
        <f>(LEFT(B67,FIND("/",B67)-1)/RIGHT(B67,LEN(B67)-FIND("/", B67)))</f>
        <v>6.25</v>
      </c>
    </row>
    <row r="68" spans="1:9" x14ac:dyDescent="0.25">
      <c r="A68" s="3" t="s">
        <v>20</v>
      </c>
      <c r="B68" s="4" t="str">
        <f>"25/4"</f>
        <v>25/4</v>
      </c>
      <c r="C68" s="7">
        <v>0.67400000000000004</v>
      </c>
      <c r="D68" s="8">
        <f>((C68)*(H68)*(I68))/(G68*1)</f>
        <v>210.26754517320558</v>
      </c>
      <c r="E68" s="8">
        <f>D68/10000</f>
        <v>2.1026754517320556E-2</v>
      </c>
      <c r="G68" s="9">
        <f>digestion_page!B18</f>
        <v>1.0017</v>
      </c>
      <c r="H68" s="9">
        <f>digestion_page!C18</f>
        <v>50</v>
      </c>
      <c r="I68" s="9">
        <f>(LEFT(B68,FIND("/",B68)-1)/RIGHT(B68,LEN(B68)-FIND("/", B68)))</f>
        <v>6.25</v>
      </c>
    </row>
    <row r="69" spans="1:9" x14ac:dyDescent="0.25">
      <c r="A69" s="3" t="s">
        <v>21</v>
      </c>
      <c r="B69" s="4" t="str">
        <f>"1/1"</f>
        <v>1/1</v>
      </c>
      <c r="C69" s="7"/>
      <c r="D69" s="8">
        <f>((C69)*(H69)*(I69))/(G69*1)</f>
        <v>0</v>
      </c>
      <c r="E69" s="8">
        <f>D69/10000</f>
        <v>0</v>
      </c>
      <c r="G69" s="9">
        <f>digestion_page!B19</f>
        <v>1.0118</v>
      </c>
      <c r="H69" s="9">
        <f>digestion_page!C19</f>
        <v>50</v>
      </c>
      <c r="I69" s="9">
        <f>(LEFT(B69,FIND("/",B69)-1)/RIGHT(B69,LEN(B69)-FIND("/", B69)))</f>
        <v>1</v>
      </c>
    </row>
    <row r="71" spans="1:9" x14ac:dyDescent="0.25">
      <c r="A71" s="24" t="s">
        <v>66</v>
      </c>
      <c r="B71" s="24"/>
      <c r="C71" s="25">
        <f>AVERAGE(D67:D69)</f>
        <v>139.36079280785964</v>
      </c>
    </row>
    <row r="72" spans="1:9" x14ac:dyDescent="0.25">
      <c r="A72" s="19" t="s">
        <v>66</v>
      </c>
      <c r="B72" s="19"/>
      <c r="C72" s="12">
        <f>AVERAGE(E67:E69)</f>
        <v>1.3936079280785963E-2</v>
      </c>
    </row>
    <row r="73" spans="1:9" x14ac:dyDescent="0.25">
      <c r="A73" s="19" t="s">
        <v>67</v>
      </c>
      <c r="B73" s="19"/>
      <c r="C73" s="6"/>
    </row>
    <row r="74" spans="1:9" x14ac:dyDescent="0.25">
      <c r="A74" s="19" t="s">
        <v>68</v>
      </c>
      <c r="B74" s="19"/>
      <c r="C74" s="12">
        <f>AVERAGE(E67:E69)*(C73)</f>
        <v>0</v>
      </c>
    </row>
    <row r="75" spans="1:9" x14ac:dyDescent="0.25">
      <c r="A75" s="19" t="s">
        <v>69</v>
      </c>
      <c r="B75" s="19"/>
      <c r="C75" s="17" t="s">
        <v>104</v>
      </c>
      <c r="D75" s="17"/>
      <c r="E75" s="17"/>
      <c r="F75" s="17"/>
    </row>
    <row r="77" spans="1:9" x14ac:dyDescent="0.25">
      <c r="A77" s="20" t="s">
        <v>70</v>
      </c>
      <c r="B77" s="20"/>
    </row>
    <row r="78" spans="1:9" x14ac:dyDescent="0.25">
      <c r="A78" s="3" t="s">
        <v>26</v>
      </c>
      <c r="B78" s="3" t="s">
        <v>27</v>
      </c>
      <c r="C78" s="3" t="s">
        <v>28</v>
      </c>
      <c r="D78" s="3" t="s">
        <v>71</v>
      </c>
      <c r="E78" s="3" t="s">
        <v>72</v>
      </c>
    </row>
    <row r="79" spans="1:9" x14ac:dyDescent="0.25">
      <c r="A79" s="3" t="s">
        <v>19</v>
      </c>
      <c r="B79" s="4" t="str">
        <f>"1/1"</f>
        <v>1/1</v>
      </c>
      <c r="C79" s="7">
        <v>0.46200000000000002</v>
      </c>
      <c r="D79" s="8">
        <f>((C79)*(H79)*(I79))/(G79*1)</f>
        <v>22.99651567944251</v>
      </c>
      <c r="E79" s="8">
        <f>D79/10000</f>
        <v>2.2996515679442509E-3</v>
      </c>
      <c r="G79" s="9">
        <f>digestion_page!B17</f>
        <v>1.0044999999999999</v>
      </c>
      <c r="H79" s="9">
        <f>digestion_page!C17</f>
        <v>50</v>
      </c>
      <c r="I79" s="9">
        <f>(LEFT(B79,FIND("/",B79)-1)/RIGHT(B79,LEN(B79)-FIND("/", B79)))</f>
        <v>1</v>
      </c>
    </row>
    <row r="80" spans="1:9" x14ac:dyDescent="0.25">
      <c r="A80" s="3" t="s">
        <v>20</v>
      </c>
      <c r="B80" s="4" t="str">
        <f>"1/1"</f>
        <v>1/1</v>
      </c>
      <c r="C80" s="7">
        <v>0.44800000000000001</v>
      </c>
      <c r="D80" s="8">
        <f>((C80)*(H80)*(I80))/(G80*1)</f>
        <v>22.36198462613557</v>
      </c>
      <c r="E80" s="8">
        <f>D80/10000</f>
        <v>2.2361984626135568E-3</v>
      </c>
      <c r="G80" s="9">
        <f>digestion_page!B18</f>
        <v>1.0017</v>
      </c>
      <c r="H80" s="9">
        <f>digestion_page!C18</f>
        <v>50</v>
      </c>
      <c r="I80" s="9">
        <f>(LEFT(B80,FIND("/",B80)-1)/RIGHT(B80,LEN(B80)-FIND("/", B80)))</f>
        <v>1</v>
      </c>
    </row>
    <row r="81" spans="1:9" x14ac:dyDescent="0.25">
      <c r="A81" s="3" t="s">
        <v>21</v>
      </c>
      <c r="B81" s="4" t="str">
        <f>"1/1"</f>
        <v>1/1</v>
      </c>
      <c r="C81" s="7">
        <v>0.503</v>
      </c>
      <c r="D81" s="8">
        <f>((C81)*(H81)*(I81))/(G81*1)</f>
        <v>24.856691045661197</v>
      </c>
      <c r="E81" s="8">
        <f>D81/10000</f>
        <v>2.4856691045661199E-3</v>
      </c>
      <c r="G81" s="9">
        <f>digestion_page!B19</f>
        <v>1.0118</v>
      </c>
      <c r="H81" s="9">
        <f>digestion_page!C19</f>
        <v>50</v>
      </c>
      <c r="I81" s="9">
        <f>(LEFT(B81,FIND("/",B81)-1)/RIGHT(B81,LEN(B81)-FIND("/", B81)))</f>
        <v>1</v>
      </c>
    </row>
    <row r="83" spans="1:9" x14ac:dyDescent="0.25">
      <c r="A83" s="22" t="s">
        <v>73</v>
      </c>
      <c r="B83" s="22"/>
      <c r="C83" s="23">
        <f>AVERAGE(D79:D81)</f>
        <v>23.405063783746424</v>
      </c>
    </row>
    <row r="84" spans="1:9" x14ac:dyDescent="0.25">
      <c r="A84" s="19" t="s">
        <v>73</v>
      </c>
      <c r="B84" s="19"/>
      <c r="C84" s="12">
        <f>AVERAGE(E79:E81)</f>
        <v>2.3405063783746424E-3</v>
      </c>
    </row>
    <row r="85" spans="1:9" x14ac:dyDescent="0.25">
      <c r="A85" s="19" t="s">
        <v>74</v>
      </c>
      <c r="B85" s="19"/>
      <c r="C85" s="6"/>
    </row>
    <row r="86" spans="1:9" x14ac:dyDescent="0.25">
      <c r="A86" s="19" t="s">
        <v>75</v>
      </c>
      <c r="B86" s="19"/>
      <c r="C86" s="12">
        <f>AVERAGE(E79:E81)*(C85)</f>
        <v>0</v>
      </c>
    </row>
    <row r="87" spans="1:9" x14ac:dyDescent="0.25">
      <c r="A87" s="19" t="s">
        <v>76</v>
      </c>
      <c r="B87" s="19"/>
      <c r="C87" s="17" t="s">
        <v>105</v>
      </c>
      <c r="D87" s="17"/>
      <c r="E87" s="17"/>
      <c r="F87" s="17"/>
    </row>
    <row r="89" spans="1:9" x14ac:dyDescent="0.25">
      <c r="A89" s="20" t="s">
        <v>77</v>
      </c>
      <c r="B89" s="20"/>
    </row>
    <row r="90" spans="1:9" x14ac:dyDescent="0.25">
      <c r="A90" s="3" t="s">
        <v>26</v>
      </c>
      <c r="B90" s="3" t="s">
        <v>27</v>
      </c>
      <c r="C90" s="3" t="s">
        <v>28</v>
      </c>
      <c r="D90" s="3" t="s">
        <v>78</v>
      </c>
      <c r="E90" s="3" t="s">
        <v>79</v>
      </c>
    </row>
    <row r="91" spans="1:9" x14ac:dyDescent="0.25">
      <c r="A91" s="3" t="s">
        <v>19</v>
      </c>
      <c r="B91" s="4" t="str">
        <f>"1/1"</f>
        <v>1/1</v>
      </c>
      <c r="C91" s="7">
        <v>7.0000000000000001E-3</v>
      </c>
      <c r="D91" s="8">
        <f>((C91)*(H91)*(I91))/(G91*1)</f>
        <v>0.34843205574912894</v>
      </c>
      <c r="E91" s="8">
        <f>D91/10000</f>
        <v>3.4843205574912892E-5</v>
      </c>
      <c r="G91" s="9">
        <f>digestion_page!B17</f>
        <v>1.0044999999999999</v>
      </c>
      <c r="H91" s="9">
        <f>digestion_page!C17</f>
        <v>50</v>
      </c>
      <c r="I91" s="9">
        <f>(LEFT(B91,FIND("/",B91)-1)/RIGHT(B91,LEN(B91)-FIND("/", B91)))</f>
        <v>1</v>
      </c>
    </row>
    <row r="92" spans="1:9" x14ac:dyDescent="0.25">
      <c r="A92" s="3" t="s">
        <v>20</v>
      </c>
      <c r="B92" s="4" t="str">
        <f>"1/1"</f>
        <v>1/1</v>
      </c>
      <c r="C92" s="7">
        <v>1.9E-2</v>
      </c>
      <c r="D92" s="8">
        <f>((C92)*(H92)*(I92))/(G92*1)</f>
        <v>0.94838774084057098</v>
      </c>
      <c r="E92" s="8">
        <f>D92/10000</f>
        <v>9.4838774084057096E-5</v>
      </c>
      <c r="G92" s="9">
        <f>digestion_page!B18</f>
        <v>1.0017</v>
      </c>
      <c r="H92" s="9">
        <f>digestion_page!C18</f>
        <v>50</v>
      </c>
      <c r="I92" s="9">
        <f>(LEFT(B92,FIND("/",B92)-1)/RIGHT(B92,LEN(B92)-FIND("/", B92)))</f>
        <v>1</v>
      </c>
    </row>
    <row r="93" spans="1:9" x14ac:dyDescent="0.25">
      <c r="A93" s="3" t="s">
        <v>21</v>
      </c>
      <c r="B93" s="4" t="str">
        <f>"1/1"</f>
        <v>1/1</v>
      </c>
      <c r="C93" s="7">
        <v>0</v>
      </c>
      <c r="D93" s="8">
        <f>((C93)*(H93)*(I93))/(G93*1)</f>
        <v>0</v>
      </c>
      <c r="E93" s="8">
        <f>D93/10000</f>
        <v>0</v>
      </c>
      <c r="G93" s="9">
        <f>digestion_page!B19</f>
        <v>1.0118</v>
      </c>
      <c r="H93" s="9">
        <f>digestion_page!C19</f>
        <v>50</v>
      </c>
      <c r="I93" s="9">
        <f>(LEFT(B93,FIND("/",B93)-1)/RIGHT(B93,LEN(B93)-FIND("/", B93)))</f>
        <v>1</v>
      </c>
    </row>
    <row r="95" spans="1:9" x14ac:dyDescent="0.25">
      <c r="A95" s="22" t="s">
        <v>80</v>
      </c>
      <c r="B95" s="22"/>
      <c r="C95" s="23">
        <f>AVERAGE(D91:D93)</f>
        <v>0.43227326552989997</v>
      </c>
    </row>
    <row r="96" spans="1:9" x14ac:dyDescent="0.25">
      <c r="A96" s="19" t="s">
        <v>80</v>
      </c>
      <c r="B96" s="19"/>
      <c r="C96" s="12">
        <f>AVERAGE(E91:E93)</f>
        <v>4.3227326552989989E-5</v>
      </c>
    </row>
    <row r="97" spans="1:6" x14ac:dyDescent="0.25">
      <c r="A97" s="19" t="s">
        <v>81</v>
      </c>
      <c r="B97" s="19"/>
      <c r="C97" s="6"/>
    </row>
    <row r="98" spans="1:6" x14ac:dyDescent="0.25">
      <c r="A98" s="19" t="s">
        <v>82</v>
      </c>
      <c r="B98" s="19"/>
      <c r="C98" s="12">
        <f>AVERAGE(E91:E93)*(C97)</f>
        <v>0</v>
      </c>
    </row>
    <row r="99" spans="1:6" x14ac:dyDescent="0.25">
      <c r="A99" s="19" t="s">
        <v>83</v>
      </c>
      <c r="B99" s="19"/>
      <c r="C99" s="17" t="s">
        <v>106</v>
      </c>
      <c r="D99" s="17"/>
      <c r="E99" s="17"/>
      <c r="F99" s="17"/>
    </row>
    <row r="101" spans="1:6" x14ac:dyDescent="0.25">
      <c r="B101" s="10" t="s">
        <v>84</v>
      </c>
      <c r="C101" s="18"/>
      <c r="D101" s="18"/>
      <c r="E101" s="18"/>
      <c r="F101" s="18"/>
    </row>
    <row r="102" spans="1:6" x14ac:dyDescent="0.25">
      <c r="C102" s="18"/>
      <c r="D102" s="18"/>
      <c r="E102" s="18"/>
      <c r="F102" s="18"/>
    </row>
    <row r="103" spans="1:6" x14ac:dyDescent="0.25">
      <c r="C103" s="18"/>
      <c r="D103" s="18"/>
      <c r="E103" s="18"/>
      <c r="F103" s="18"/>
    </row>
  </sheetData>
  <mergeCells count="57">
    <mergeCell ref="A5:B5"/>
    <mergeCell ref="A11:B11"/>
    <mergeCell ref="A12:B12"/>
    <mergeCell ref="A13:B13"/>
    <mergeCell ref="A14:B14"/>
    <mergeCell ref="A15:B15"/>
    <mergeCell ref="C15:F15"/>
    <mergeCell ref="A17:B17"/>
    <mergeCell ref="A23:B23"/>
    <mergeCell ref="A24:B24"/>
    <mergeCell ref="A25:B25"/>
    <mergeCell ref="A26:B26"/>
    <mergeCell ref="A27:B27"/>
    <mergeCell ref="C27:F27"/>
    <mergeCell ref="A29:B29"/>
    <mergeCell ref="A35:B35"/>
    <mergeCell ref="A36:B36"/>
    <mergeCell ref="A37:B37"/>
    <mergeCell ref="A38:B38"/>
    <mergeCell ref="A39:B39"/>
    <mergeCell ref="C39:F39"/>
    <mergeCell ref="A41:B41"/>
    <mergeCell ref="A47:B47"/>
    <mergeCell ref="A48:B48"/>
    <mergeCell ref="A49:B49"/>
    <mergeCell ref="A50:B50"/>
    <mergeCell ref="A51:B51"/>
    <mergeCell ref="C51:F51"/>
    <mergeCell ref="A53:B53"/>
    <mergeCell ref="A59:B59"/>
    <mergeCell ref="A60:B60"/>
    <mergeCell ref="A61:B61"/>
    <mergeCell ref="A62:B62"/>
    <mergeCell ref="A63:B63"/>
    <mergeCell ref="C63:F63"/>
    <mergeCell ref="A65:B65"/>
    <mergeCell ref="A71:B71"/>
    <mergeCell ref="A72:B72"/>
    <mergeCell ref="A73:B73"/>
    <mergeCell ref="A74:B74"/>
    <mergeCell ref="A75:B75"/>
    <mergeCell ref="C75:F75"/>
    <mergeCell ref="A77:B77"/>
    <mergeCell ref="A83:B83"/>
    <mergeCell ref="A84:B84"/>
    <mergeCell ref="A85:B85"/>
    <mergeCell ref="A86:B86"/>
    <mergeCell ref="A87:B87"/>
    <mergeCell ref="C87:F87"/>
    <mergeCell ref="A89:B89"/>
    <mergeCell ref="C99:F99"/>
    <mergeCell ref="C101:F103"/>
    <mergeCell ref="A95:B95"/>
    <mergeCell ref="A96:B96"/>
    <mergeCell ref="A97:B97"/>
    <mergeCell ref="A98:B98"/>
    <mergeCell ref="A99:B99"/>
  </mergeCells>
  <conditionalFormatting sqref="C15:F15">
    <cfRule type="containsBlanks" dxfId="22" priority="1">
      <formula>LEN(TRIM(C15))=0</formula>
    </cfRule>
  </conditionalFormatting>
  <conditionalFormatting sqref="C27:F27">
    <cfRule type="containsBlanks" dxfId="21" priority="2">
      <formula>LEN(TRIM(C27))=0</formula>
    </cfRule>
  </conditionalFormatting>
  <conditionalFormatting sqref="C39:F39">
    <cfRule type="containsBlanks" dxfId="20" priority="3">
      <formula>LEN(TRIM(C39))=0</formula>
    </cfRule>
  </conditionalFormatting>
  <conditionalFormatting sqref="C51:F51">
    <cfRule type="containsBlanks" dxfId="19" priority="4">
      <formula>LEN(TRIM(C51))=0</formula>
    </cfRule>
  </conditionalFormatting>
  <conditionalFormatting sqref="C63:F63">
    <cfRule type="containsBlanks" dxfId="18" priority="5">
      <formula>LEN(TRIM(C63))=0</formula>
    </cfRule>
  </conditionalFormatting>
  <conditionalFormatting sqref="C75:F75">
    <cfRule type="containsBlanks" dxfId="17" priority="6">
      <formula>LEN(TRIM(C75))=0</formula>
    </cfRule>
  </conditionalFormatting>
  <conditionalFormatting sqref="C87:F87">
    <cfRule type="containsBlanks" dxfId="16" priority="7">
      <formula>LEN(TRIM(C87))=0</formula>
    </cfRule>
  </conditionalFormatting>
  <conditionalFormatting sqref="C99:F99">
    <cfRule type="containsBlanks" dxfId="15" priority="8">
      <formula>LEN(TRIM(C99))=0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3"/>
  <sheetViews>
    <sheetView tabSelected="1" workbookViewId="0">
      <selection activeCell="H97" sqref="H97"/>
    </sheetView>
  </sheetViews>
  <sheetFormatPr defaultRowHeight="15" x14ac:dyDescent="0.25"/>
  <cols>
    <col min="1" max="1" width="14.7109375" bestFit="1" customWidth="1"/>
    <col min="2" max="2" width="10.7109375" bestFit="1" customWidth="1"/>
    <col min="3" max="3" width="12.7109375" customWidth="1"/>
    <col min="4" max="4" width="8.42578125" bestFit="1" customWidth="1"/>
    <col min="5" max="5" width="5" bestFit="1" customWidth="1"/>
    <col min="6" max="6" width="20.42578125" customWidth="1"/>
  </cols>
  <sheetData>
    <row r="1" spans="1:9" x14ac:dyDescent="0.25">
      <c r="A1" s="1" t="s">
        <v>0</v>
      </c>
      <c r="B1" s="2">
        <v>46153</v>
      </c>
    </row>
    <row r="2" spans="1:9" x14ac:dyDescent="0.25">
      <c r="A2" s="1" t="s">
        <v>1</v>
      </c>
      <c r="B2" t="s">
        <v>2</v>
      </c>
    </row>
    <row r="5" spans="1:9" x14ac:dyDescent="0.25">
      <c r="A5" s="20" t="s">
        <v>25</v>
      </c>
      <c r="B5" s="20"/>
    </row>
    <row r="6" spans="1:9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</row>
    <row r="7" spans="1:9" x14ac:dyDescent="0.25">
      <c r="A7" s="3" t="s">
        <v>22</v>
      </c>
      <c r="B7" s="4" t="str">
        <f>"1/1"</f>
        <v>1/1</v>
      </c>
      <c r="C7" s="7"/>
      <c r="D7" s="8">
        <f>((C7)*(H7)*(I7))/(G7*1)</f>
        <v>0</v>
      </c>
      <c r="E7" s="8">
        <f>D7/10000</f>
        <v>0</v>
      </c>
      <c r="G7" s="9">
        <f>digestion_page!B20</f>
        <v>1.5011000000000001</v>
      </c>
      <c r="H7" s="9">
        <f>digestion_page!C20</f>
        <v>50</v>
      </c>
      <c r="I7" s="9">
        <f>(LEFT(B7,FIND("/",B7)-1)/RIGHT(B7,LEN(B7)-FIND("/", B7)))</f>
        <v>1</v>
      </c>
    </row>
    <row r="8" spans="1:9" x14ac:dyDescent="0.25">
      <c r="A8" s="3" t="s">
        <v>23</v>
      </c>
      <c r="B8" s="4" t="str">
        <f>"1/1"</f>
        <v>1/1</v>
      </c>
      <c r="C8" s="7"/>
      <c r="D8" s="8">
        <f>((C8)*(H8)*(I8))/(G8*1)</f>
        <v>0</v>
      </c>
      <c r="E8" s="8">
        <f>D8/10000</f>
        <v>0</v>
      </c>
      <c r="G8" s="9">
        <f>digestion_page!B21</f>
        <v>1.5053000000000001</v>
      </c>
      <c r="H8" s="9">
        <f>digestion_page!C21</f>
        <v>50</v>
      </c>
      <c r="I8" s="9">
        <f>(LEFT(B8,FIND("/",B8)-1)/RIGHT(B8,LEN(B8)-FIND("/", B8)))</f>
        <v>1</v>
      </c>
    </row>
    <row r="9" spans="1:9" x14ac:dyDescent="0.25">
      <c r="A9" s="3" t="s">
        <v>24</v>
      </c>
      <c r="B9" s="4" t="str">
        <f>"1/1"</f>
        <v>1/1</v>
      </c>
      <c r="C9" s="7"/>
      <c r="D9" s="8">
        <f>((C9)*(H9)*(I9))/(G9*1)</f>
        <v>0</v>
      </c>
      <c r="E9" s="8">
        <f>D9/10000</f>
        <v>0</v>
      </c>
      <c r="G9" s="9">
        <f>digestion_page!B22</f>
        <v>1.5019</v>
      </c>
      <c r="H9" s="9">
        <f>digestion_page!C22</f>
        <v>50</v>
      </c>
      <c r="I9" s="9">
        <f>(LEFT(B9,FIND("/",B9)-1)/RIGHT(B9,LEN(B9)-FIND("/", B9)))</f>
        <v>1</v>
      </c>
    </row>
    <row r="11" spans="1:9" x14ac:dyDescent="0.25">
      <c r="A11" s="19" t="s">
        <v>31</v>
      </c>
      <c r="B11" s="19"/>
      <c r="C11" s="11">
        <f>AVERAGE(D7:D9)</f>
        <v>0</v>
      </c>
    </row>
    <row r="12" spans="1:9" x14ac:dyDescent="0.25">
      <c r="A12" s="19" t="s">
        <v>31</v>
      </c>
      <c r="B12" s="19"/>
      <c r="C12" s="12">
        <f>AVERAGE(E7:E9)</f>
        <v>0</v>
      </c>
    </row>
    <row r="13" spans="1:9" x14ac:dyDescent="0.25">
      <c r="A13" s="19" t="s">
        <v>32</v>
      </c>
      <c r="B13" s="19"/>
      <c r="C13" s="6"/>
    </row>
    <row r="14" spans="1:9" x14ac:dyDescent="0.25">
      <c r="A14" s="19" t="s">
        <v>33</v>
      </c>
      <c r="B14" s="19"/>
      <c r="C14" s="12">
        <f>AVERAGE(E7:E9)*(C13)</f>
        <v>0</v>
      </c>
    </row>
    <row r="15" spans="1:9" x14ac:dyDescent="0.25">
      <c r="A15" s="19" t="s">
        <v>34</v>
      </c>
      <c r="B15" s="19"/>
      <c r="C15" s="17" t="s">
        <v>100</v>
      </c>
      <c r="D15" s="17"/>
      <c r="E15" s="17"/>
      <c r="F15" s="17"/>
    </row>
    <row r="17" spans="1:9" x14ac:dyDescent="0.25">
      <c r="A17" s="20" t="s">
        <v>35</v>
      </c>
      <c r="B17" s="20"/>
    </row>
    <row r="18" spans="1:9" x14ac:dyDescent="0.25">
      <c r="A18" s="3" t="s">
        <v>26</v>
      </c>
      <c r="B18" s="3" t="s">
        <v>27</v>
      </c>
      <c r="C18" s="3" t="s">
        <v>28</v>
      </c>
      <c r="D18" s="3" t="s">
        <v>36</v>
      </c>
      <c r="E18" s="3" t="s">
        <v>37</v>
      </c>
    </row>
    <row r="19" spans="1:9" x14ac:dyDescent="0.25">
      <c r="A19" s="3" t="s">
        <v>22</v>
      </c>
      <c r="B19" s="4" t="str">
        <f>"1/1"</f>
        <v>1/1</v>
      </c>
      <c r="C19" s="7"/>
      <c r="D19" s="8">
        <f>((C19)*(H19)*(I19))/(G19*1)</f>
        <v>0</v>
      </c>
      <c r="E19" s="8">
        <f>D19/10000</f>
        <v>0</v>
      </c>
      <c r="G19" s="9">
        <f>digestion_page!B20</f>
        <v>1.5011000000000001</v>
      </c>
      <c r="H19" s="9">
        <f>digestion_page!C20</f>
        <v>50</v>
      </c>
      <c r="I19" s="9">
        <f>(LEFT(B19,FIND("/",B19)-1)/RIGHT(B19,LEN(B19)-FIND("/", B19)))</f>
        <v>1</v>
      </c>
    </row>
    <row r="20" spans="1:9" x14ac:dyDescent="0.25">
      <c r="A20" s="3" t="s">
        <v>23</v>
      </c>
      <c r="B20" s="4" t="str">
        <f>"1/1"</f>
        <v>1/1</v>
      </c>
      <c r="C20" s="7"/>
      <c r="D20" s="8">
        <f>((C20)*(H20)*(I20))/(G20*1)</f>
        <v>0</v>
      </c>
      <c r="E20" s="8">
        <f>D20/10000</f>
        <v>0</v>
      </c>
      <c r="G20" s="9">
        <f>digestion_page!B21</f>
        <v>1.5053000000000001</v>
      </c>
      <c r="H20" s="9">
        <f>digestion_page!C21</f>
        <v>50</v>
      </c>
      <c r="I20" s="9">
        <f>(LEFT(B20,FIND("/",B20)-1)/RIGHT(B20,LEN(B20)-FIND("/", B20)))</f>
        <v>1</v>
      </c>
    </row>
    <row r="21" spans="1:9" x14ac:dyDescent="0.25">
      <c r="A21" s="3" t="s">
        <v>24</v>
      </c>
      <c r="B21" s="4" t="str">
        <f>"1/1"</f>
        <v>1/1</v>
      </c>
      <c r="C21" s="7"/>
      <c r="D21" s="8">
        <f>((C21)*(H21)*(I21))/(G21*1)</f>
        <v>0</v>
      </c>
      <c r="E21" s="8">
        <f>D21/10000</f>
        <v>0</v>
      </c>
      <c r="G21" s="9">
        <f>digestion_page!B22</f>
        <v>1.5019</v>
      </c>
      <c r="H21" s="9">
        <f>digestion_page!C22</f>
        <v>50</v>
      </c>
      <c r="I21" s="9">
        <f>(LEFT(B21,FIND("/",B21)-1)/RIGHT(B21,LEN(B21)-FIND("/", B21)))</f>
        <v>1</v>
      </c>
    </row>
    <row r="23" spans="1:9" x14ac:dyDescent="0.25">
      <c r="A23" s="19" t="s">
        <v>38</v>
      </c>
      <c r="B23" s="19"/>
      <c r="C23" s="11">
        <f>AVERAGE(D19:D21)</f>
        <v>0</v>
      </c>
    </row>
    <row r="24" spans="1:9" x14ac:dyDescent="0.25">
      <c r="A24" s="19" t="s">
        <v>38</v>
      </c>
      <c r="B24" s="19"/>
      <c r="C24" s="12">
        <f>AVERAGE(E19:E21)</f>
        <v>0</v>
      </c>
    </row>
    <row r="25" spans="1:9" x14ac:dyDescent="0.25">
      <c r="A25" s="19" t="s">
        <v>39</v>
      </c>
      <c r="B25" s="19"/>
      <c r="C25" s="6"/>
    </row>
    <row r="26" spans="1:9" x14ac:dyDescent="0.25">
      <c r="A26" s="19" t="s">
        <v>40</v>
      </c>
      <c r="B26" s="19"/>
      <c r="C26" s="12">
        <f>AVERAGE(E19:E21)*(C25)</f>
        <v>0</v>
      </c>
    </row>
    <row r="27" spans="1:9" x14ac:dyDescent="0.25">
      <c r="A27" s="19" t="s">
        <v>41</v>
      </c>
      <c r="B27" s="19"/>
      <c r="C27" s="17"/>
      <c r="D27" s="17"/>
      <c r="E27" s="17"/>
      <c r="F27" s="17"/>
    </row>
    <row r="29" spans="1:9" x14ac:dyDescent="0.25">
      <c r="A29" s="20" t="s">
        <v>42</v>
      </c>
      <c r="B29" s="20"/>
    </row>
    <row r="30" spans="1:9" x14ac:dyDescent="0.25">
      <c r="A30" s="3" t="s">
        <v>26</v>
      </c>
      <c r="B30" s="3" t="s">
        <v>27</v>
      </c>
      <c r="C30" s="3" t="s">
        <v>28</v>
      </c>
      <c r="D30" s="3" t="s">
        <v>43</v>
      </c>
      <c r="E30" s="3" t="s">
        <v>44</v>
      </c>
    </row>
    <row r="31" spans="1:9" x14ac:dyDescent="0.25">
      <c r="A31" s="3" t="s">
        <v>22</v>
      </c>
      <c r="B31" s="4" t="str">
        <f>"1/1"</f>
        <v>1/1</v>
      </c>
      <c r="C31" s="7"/>
      <c r="D31" s="8">
        <f>((C31)*(H31)*(I31))/(G31*1)</f>
        <v>0</v>
      </c>
      <c r="E31" s="8">
        <f>D31/10000</f>
        <v>0</v>
      </c>
      <c r="G31" s="9">
        <f>digestion_page!B20</f>
        <v>1.5011000000000001</v>
      </c>
      <c r="H31" s="9">
        <f>digestion_page!C20</f>
        <v>50</v>
      </c>
      <c r="I31" s="9">
        <f>(LEFT(B31,FIND("/",B31)-1)/RIGHT(B31,LEN(B31)-FIND("/", B31)))</f>
        <v>1</v>
      </c>
    </row>
    <row r="32" spans="1:9" x14ac:dyDescent="0.25">
      <c r="A32" s="3" t="s">
        <v>23</v>
      </c>
      <c r="B32" s="4" t="str">
        <f>"1/1"</f>
        <v>1/1</v>
      </c>
      <c r="C32" s="7"/>
      <c r="D32" s="8">
        <f>((C32)*(H32)*(I32))/(G32*1)</f>
        <v>0</v>
      </c>
      <c r="E32" s="8">
        <f>D32/10000</f>
        <v>0</v>
      </c>
      <c r="G32" s="9">
        <f>digestion_page!B21</f>
        <v>1.5053000000000001</v>
      </c>
      <c r="H32" s="9">
        <f>digestion_page!C21</f>
        <v>50</v>
      </c>
      <c r="I32" s="9">
        <f>(LEFT(B32,FIND("/",B32)-1)/RIGHT(B32,LEN(B32)-FIND("/", B32)))</f>
        <v>1</v>
      </c>
    </row>
    <row r="33" spans="1:9" x14ac:dyDescent="0.25">
      <c r="A33" s="3" t="s">
        <v>24</v>
      </c>
      <c r="B33" s="4" t="str">
        <f>"1/1"</f>
        <v>1/1</v>
      </c>
      <c r="C33" s="7"/>
      <c r="D33" s="8">
        <f>((C33)*(H33)*(I33))/(G33*1)</f>
        <v>0</v>
      </c>
      <c r="E33" s="8">
        <f>D33/10000</f>
        <v>0</v>
      </c>
      <c r="G33" s="9">
        <f>digestion_page!B22</f>
        <v>1.5019</v>
      </c>
      <c r="H33" s="9">
        <f>digestion_page!C22</f>
        <v>50</v>
      </c>
      <c r="I33" s="9">
        <f>(LEFT(B33,FIND("/",B33)-1)/RIGHT(B33,LEN(B33)-FIND("/", B33)))</f>
        <v>1</v>
      </c>
    </row>
    <row r="35" spans="1:9" x14ac:dyDescent="0.25">
      <c r="A35" s="19" t="s">
        <v>45</v>
      </c>
      <c r="B35" s="19"/>
      <c r="C35" s="11">
        <f>AVERAGE(D31:D33)</f>
        <v>0</v>
      </c>
    </row>
    <row r="36" spans="1:9" x14ac:dyDescent="0.25">
      <c r="A36" s="19" t="s">
        <v>45</v>
      </c>
      <c r="B36" s="19"/>
      <c r="C36" s="12">
        <f>AVERAGE(E31:E33)</f>
        <v>0</v>
      </c>
    </row>
    <row r="37" spans="1:9" x14ac:dyDescent="0.25">
      <c r="A37" s="19" t="s">
        <v>46</v>
      </c>
      <c r="B37" s="19"/>
      <c r="C37" s="6"/>
    </row>
    <row r="38" spans="1:9" x14ac:dyDescent="0.25">
      <c r="A38" s="19" t="s">
        <v>47</v>
      </c>
      <c r="B38" s="19"/>
      <c r="C38" s="12">
        <f>AVERAGE(E31:E33)*(C37)</f>
        <v>0</v>
      </c>
    </row>
    <row r="39" spans="1:9" x14ac:dyDescent="0.25">
      <c r="A39" s="19" t="s">
        <v>48</v>
      </c>
      <c r="B39" s="19"/>
      <c r="C39" s="17" t="s">
        <v>101</v>
      </c>
      <c r="D39" s="17"/>
      <c r="E39" s="17"/>
      <c r="F39" s="17"/>
    </row>
    <row r="41" spans="1:9" x14ac:dyDescent="0.25">
      <c r="A41" s="20" t="s">
        <v>49</v>
      </c>
      <c r="B41" s="20"/>
    </row>
    <row r="42" spans="1:9" x14ac:dyDescent="0.25">
      <c r="A42" s="3" t="s">
        <v>26</v>
      </c>
      <c r="B42" s="3" t="s">
        <v>27</v>
      </c>
      <c r="C42" s="3" t="s">
        <v>28</v>
      </c>
      <c r="D42" s="3" t="s">
        <v>50</v>
      </c>
      <c r="E42" s="3" t="s">
        <v>51</v>
      </c>
    </row>
    <row r="43" spans="1:9" x14ac:dyDescent="0.25">
      <c r="A43" s="3" t="s">
        <v>22</v>
      </c>
      <c r="B43" s="4" t="str">
        <f>"1/1"</f>
        <v>1/1</v>
      </c>
      <c r="C43" s="7"/>
      <c r="D43" s="8">
        <f>((C43)*(H43)*(I43))/(G43*1)</f>
        <v>0</v>
      </c>
      <c r="E43" s="8">
        <f>D43/10000</f>
        <v>0</v>
      </c>
      <c r="G43" s="9">
        <f>digestion_page!B20</f>
        <v>1.5011000000000001</v>
      </c>
      <c r="H43" s="9">
        <f>digestion_page!C20</f>
        <v>50</v>
      </c>
      <c r="I43" s="9">
        <f>(LEFT(B43,FIND("/",B43)-1)/RIGHT(B43,LEN(B43)-FIND("/", B43)))</f>
        <v>1</v>
      </c>
    </row>
    <row r="44" spans="1:9" x14ac:dyDescent="0.25">
      <c r="A44" s="3" t="s">
        <v>23</v>
      </c>
      <c r="B44" s="4" t="str">
        <f>"1/1"</f>
        <v>1/1</v>
      </c>
      <c r="C44" s="7"/>
      <c r="D44" s="8">
        <f>((C44)*(H44)*(I44))/(G44*1)</f>
        <v>0</v>
      </c>
      <c r="E44" s="8">
        <f>D44/10000</f>
        <v>0</v>
      </c>
      <c r="G44" s="9">
        <f>digestion_page!B21</f>
        <v>1.5053000000000001</v>
      </c>
      <c r="H44" s="9">
        <f>digestion_page!C21</f>
        <v>50</v>
      </c>
      <c r="I44" s="9">
        <f>(LEFT(B44,FIND("/",B44)-1)/RIGHT(B44,LEN(B44)-FIND("/", B44)))</f>
        <v>1</v>
      </c>
    </row>
    <row r="45" spans="1:9" x14ac:dyDescent="0.25">
      <c r="A45" s="3" t="s">
        <v>24</v>
      </c>
      <c r="B45" s="4" t="str">
        <f>"1/1"</f>
        <v>1/1</v>
      </c>
      <c r="C45" s="7"/>
      <c r="D45" s="8">
        <f>((C45)*(H45)*(I45))/(G45*1)</f>
        <v>0</v>
      </c>
      <c r="E45" s="8">
        <f>D45/10000</f>
        <v>0</v>
      </c>
      <c r="G45" s="9">
        <f>digestion_page!B22</f>
        <v>1.5019</v>
      </c>
      <c r="H45" s="9">
        <f>digestion_page!C22</f>
        <v>50</v>
      </c>
      <c r="I45" s="9">
        <f>(LEFT(B45,FIND("/",B45)-1)/RIGHT(B45,LEN(B45)-FIND("/", B45)))</f>
        <v>1</v>
      </c>
    </row>
    <row r="47" spans="1:9" x14ac:dyDescent="0.25">
      <c r="A47" s="19" t="s">
        <v>52</v>
      </c>
      <c r="B47" s="19"/>
      <c r="C47" s="11">
        <f>AVERAGE(D43:D45)</f>
        <v>0</v>
      </c>
    </row>
    <row r="48" spans="1:9" x14ac:dyDescent="0.25">
      <c r="A48" s="19" t="s">
        <v>52</v>
      </c>
      <c r="B48" s="19"/>
      <c r="C48" s="12">
        <f>AVERAGE(E43:E45)</f>
        <v>0</v>
      </c>
    </row>
    <row r="49" spans="1:9" x14ac:dyDescent="0.25">
      <c r="A49" s="19" t="s">
        <v>53</v>
      </c>
      <c r="B49" s="19"/>
      <c r="C49" s="6"/>
    </row>
    <row r="50" spans="1:9" x14ac:dyDescent="0.25">
      <c r="A50" s="19" t="s">
        <v>54</v>
      </c>
      <c r="B50" s="19"/>
      <c r="C50" s="12">
        <f>AVERAGE(E43:E45)*(C49)</f>
        <v>0</v>
      </c>
    </row>
    <row r="51" spans="1:9" x14ac:dyDescent="0.25">
      <c r="A51" s="19" t="s">
        <v>55</v>
      </c>
      <c r="B51" s="19"/>
      <c r="C51" s="17" t="s">
        <v>102</v>
      </c>
      <c r="D51" s="17"/>
      <c r="E51" s="17"/>
      <c r="F51" s="17"/>
    </row>
    <row r="53" spans="1:9" x14ac:dyDescent="0.25">
      <c r="A53" s="20" t="s">
        <v>56</v>
      </c>
      <c r="B53" s="20"/>
    </row>
    <row r="54" spans="1:9" x14ac:dyDescent="0.25">
      <c r="A54" s="3" t="s">
        <v>26</v>
      </c>
      <c r="B54" s="3" t="s">
        <v>27</v>
      </c>
      <c r="C54" s="3" t="s">
        <v>28</v>
      </c>
      <c r="D54" s="3" t="s">
        <v>57</v>
      </c>
      <c r="E54" s="3" t="s">
        <v>58</v>
      </c>
    </row>
    <row r="55" spans="1:9" x14ac:dyDescent="0.25">
      <c r="A55" s="3" t="s">
        <v>22</v>
      </c>
      <c r="B55" s="4" t="str">
        <f>"1/1"</f>
        <v>1/1</v>
      </c>
      <c r="C55" s="7"/>
      <c r="D55" s="8">
        <f>((C55)*(H55)*(I55))/(G55*1)</f>
        <v>0</v>
      </c>
      <c r="E55" s="8">
        <f>D55/10000</f>
        <v>0</v>
      </c>
      <c r="G55" s="9">
        <f>digestion_page!B20</f>
        <v>1.5011000000000001</v>
      </c>
      <c r="H55" s="9">
        <f>digestion_page!C20</f>
        <v>50</v>
      </c>
      <c r="I55" s="9">
        <f>(LEFT(B55,FIND("/",B55)-1)/RIGHT(B55,LEN(B55)-FIND("/", B55)))</f>
        <v>1</v>
      </c>
    </row>
    <row r="56" spans="1:9" x14ac:dyDescent="0.25">
      <c r="A56" s="3" t="s">
        <v>23</v>
      </c>
      <c r="B56" s="4" t="str">
        <f>"1/1"</f>
        <v>1/1</v>
      </c>
      <c r="C56" s="7"/>
      <c r="D56" s="8">
        <f>((C56)*(H56)*(I56))/(G56*1)</f>
        <v>0</v>
      </c>
      <c r="E56" s="8">
        <f>D56/10000</f>
        <v>0</v>
      </c>
      <c r="G56" s="9">
        <f>digestion_page!B21</f>
        <v>1.5053000000000001</v>
      </c>
      <c r="H56" s="9">
        <f>digestion_page!C21</f>
        <v>50</v>
      </c>
      <c r="I56" s="9">
        <f>(LEFT(B56,FIND("/",B56)-1)/RIGHT(B56,LEN(B56)-FIND("/", B56)))</f>
        <v>1</v>
      </c>
    </row>
    <row r="57" spans="1:9" x14ac:dyDescent="0.25">
      <c r="A57" s="3" t="s">
        <v>24</v>
      </c>
      <c r="B57" s="4" t="str">
        <f>"1/1"</f>
        <v>1/1</v>
      </c>
      <c r="C57" s="7"/>
      <c r="D57" s="8">
        <f>((C57)*(H57)*(I57))/(G57*1)</f>
        <v>0</v>
      </c>
      <c r="E57" s="8">
        <f>D57/10000</f>
        <v>0</v>
      </c>
      <c r="G57" s="9">
        <f>digestion_page!B22</f>
        <v>1.5019</v>
      </c>
      <c r="H57" s="9">
        <f>digestion_page!C22</f>
        <v>50</v>
      </c>
      <c r="I57" s="9">
        <f>(LEFT(B57,FIND("/",B57)-1)/RIGHT(B57,LEN(B57)-FIND("/", B57)))</f>
        <v>1</v>
      </c>
    </row>
    <row r="59" spans="1:9" x14ac:dyDescent="0.25">
      <c r="A59" s="19" t="s">
        <v>59</v>
      </c>
      <c r="B59" s="19"/>
      <c r="C59" s="11">
        <f>AVERAGE(D55:D57)</f>
        <v>0</v>
      </c>
    </row>
    <row r="60" spans="1:9" x14ac:dyDescent="0.25">
      <c r="A60" s="19" t="s">
        <v>59</v>
      </c>
      <c r="B60" s="19"/>
      <c r="C60" s="12">
        <f>AVERAGE(E55:E57)</f>
        <v>0</v>
      </c>
    </row>
    <row r="61" spans="1:9" x14ac:dyDescent="0.25">
      <c r="A61" s="19" t="s">
        <v>60</v>
      </c>
      <c r="B61" s="19"/>
      <c r="C61" s="6"/>
    </row>
    <row r="62" spans="1:9" x14ac:dyDescent="0.25">
      <c r="A62" s="19" t="s">
        <v>61</v>
      </c>
      <c r="B62" s="19"/>
      <c r="C62" s="12">
        <f>AVERAGE(E55:E57)*(C61)</f>
        <v>0</v>
      </c>
    </row>
    <row r="63" spans="1:9" x14ac:dyDescent="0.25">
      <c r="A63" s="19" t="s">
        <v>62</v>
      </c>
      <c r="B63" s="19"/>
      <c r="C63" s="17" t="s">
        <v>103</v>
      </c>
      <c r="D63" s="17"/>
      <c r="E63" s="17"/>
      <c r="F63" s="17"/>
    </row>
    <row r="65" spans="1:9" x14ac:dyDescent="0.25">
      <c r="A65" s="20" t="s">
        <v>63</v>
      </c>
      <c r="B65" s="20"/>
    </row>
    <row r="66" spans="1:9" x14ac:dyDescent="0.25">
      <c r="A66" s="3" t="s">
        <v>26</v>
      </c>
      <c r="B66" s="3" t="s">
        <v>27</v>
      </c>
      <c r="C66" s="3" t="s">
        <v>28</v>
      </c>
      <c r="D66" s="3" t="s">
        <v>64</v>
      </c>
      <c r="E66" s="3" t="s">
        <v>65</v>
      </c>
    </row>
    <row r="67" spans="1:9" x14ac:dyDescent="0.25">
      <c r="A67" s="3" t="s">
        <v>22</v>
      </c>
      <c r="B67" s="4" t="str">
        <f>"1/1"</f>
        <v>1/1</v>
      </c>
      <c r="C67" s="7"/>
      <c r="D67" s="8">
        <f>((C67)*(H67)*(I67))/(G67*1)</f>
        <v>0</v>
      </c>
      <c r="E67" s="8">
        <f>D67/10000</f>
        <v>0</v>
      </c>
      <c r="G67" s="9">
        <f>digestion_page!B20</f>
        <v>1.5011000000000001</v>
      </c>
      <c r="H67" s="9">
        <f>digestion_page!C20</f>
        <v>50</v>
      </c>
      <c r="I67" s="9">
        <f>(LEFT(B67,FIND("/",B67)-1)/RIGHT(B67,LEN(B67)-FIND("/", B67)))</f>
        <v>1</v>
      </c>
    </row>
    <row r="68" spans="1:9" x14ac:dyDescent="0.25">
      <c r="A68" s="3" t="s">
        <v>23</v>
      </c>
      <c r="B68" s="4" t="str">
        <f>"1/1"</f>
        <v>1/1</v>
      </c>
      <c r="C68" s="7"/>
      <c r="D68" s="8">
        <f>((C68)*(H68)*(I68))/(G68*1)</f>
        <v>0</v>
      </c>
      <c r="E68" s="8">
        <f>D68/10000</f>
        <v>0</v>
      </c>
      <c r="G68" s="9">
        <f>digestion_page!B21</f>
        <v>1.5053000000000001</v>
      </c>
      <c r="H68" s="9">
        <f>digestion_page!C21</f>
        <v>50</v>
      </c>
      <c r="I68" s="9">
        <f>(LEFT(B68,FIND("/",B68)-1)/RIGHT(B68,LEN(B68)-FIND("/", B68)))</f>
        <v>1</v>
      </c>
    </row>
    <row r="69" spans="1:9" x14ac:dyDescent="0.25">
      <c r="A69" s="3" t="s">
        <v>24</v>
      </c>
      <c r="B69" s="4" t="str">
        <f>"1/1"</f>
        <v>1/1</v>
      </c>
      <c r="C69" s="7"/>
      <c r="D69" s="8">
        <f>((C69)*(H69)*(I69))/(G69*1)</f>
        <v>0</v>
      </c>
      <c r="E69" s="8">
        <f>D69/10000</f>
        <v>0</v>
      </c>
      <c r="G69" s="9">
        <f>digestion_page!B22</f>
        <v>1.5019</v>
      </c>
      <c r="H69" s="9">
        <f>digestion_page!C22</f>
        <v>50</v>
      </c>
      <c r="I69" s="9">
        <f>(LEFT(B69,FIND("/",B69)-1)/RIGHT(B69,LEN(B69)-FIND("/", B69)))</f>
        <v>1</v>
      </c>
    </row>
    <row r="71" spans="1:9" x14ac:dyDescent="0.25">
      <c r="A71" s="19" t="s">
        <v>66</v>
      </c>
      <c r="B71" s="19"/>
      <c r="C71" s="11">
        <f>AVERAGE(D67:D69)</f>
        <v>0</v>
      </c>
    </row>
    <row r="72" spans="1:9" x14ac:dyDescent="0.25">
      <c r="A72" s="19" t="s">
        <v>66</v>
      </c>
      <c r="B72" s="19"/>
      <c r="C72" s="12">
        <f>AVERAGE(E67:E69)</f>
        <v>0</v>
      </c>
    </row>
    <row r="73" spans="1:9" x14ac:dyDescent="0.25">
      <c r="A73" s="19" t="s">
        <v>67</v>
      </c>
      <c r="B73" s="19"/>
      <c r="C73" s="6"/>
    </row>
    <row r="74" spans="1:9" x14ac:dyDescent="0.25">
      <c r="A74" s="19" t="s">
        <v>68</v>
      </c>
      <c r="B74" s="19"/>
      <c r="C74" s="12">
        <f>AVERAGE(E67:E69)*(C73)</f>
        <v>0</v>
      </c>
    </row>
    <row r="75" spans="1:9" x14ac:dyDescent="0.25">
      <c r="A75" s="19" t="s">
        <v>69</v>
      </c>
      <c r="B75" s="19"/>
      <c r="C75" s="17" t="s">
        <v>104</v>
      </c>
      <c r="D75" s="17"/>
      <c r="E75" s="17"/>
      <c r="F75" s="17"/>
    </row>
    <row r="77" spans="1:9" x14ac:dyDescent="0.25">
      <c r="A77" s="20" t="s">
        <v>70</v>
      </c>
      <c r="B77" s="20"/>
    </row>
    <row r="78" spans="1:9" x14ac:dyDescent="0.25">
      <c r="A78" s="3" t="s">
        <v>26</v>
      </c>
      <c r="B78" s="3" t="s">
        <v>27</v>
      </c>
      <c r="C78" s="3" t="s">
        <v>28</v>
      </c>
      <c r="D78" s="3" t="s">
        <v>71</v>
      </c>
      <c r="E78" s="3" t="s">
        <v>72</v>
      </c>
    </row>
    <row r="79" spans="1:9" x14ac:dyDescent="0.25">
      <c r="A79" s="3" t="s">
        <v>22</v>
      </c>
      <c r="B79" s="4" t="str">
        <f>"1/1"</f>
        <v>1/1</v>
      </c>
      <c r="C79" s="7"/>
      <c r="D79" s="8">
        <f>((C79)*(H79)*(I79))/(G79*1)</f>
        <v>0</v>
      </c>
      <c r="E79" s="8">
        <f>D79/10000</f>
        <v>0</v>
      </c>
      <c r="G79" s="9">
        <f>digestion_page!B20</f>
        <v>1.5011000000000001</v>
      </c>
      <c r="H79" s="9">
        <f>digestion_page!C20</f>
        <v>50</v>
      </c>
      <c r="I79" s="9">
        <f>(LEFT(B79,FIND("/",B79)-1)/RIGHT(B79,LEN(B79)-FIND("/", B79)))</f>
        <v>1</v>
      </c>
    </row>
    <row r="80" spans="1:9" x14ac:dyDescent="0.25">
      <c r="A80" s="3" t="s">
        <v>23</v>
      </c>
      <c r="B80" s="4" t="str">
        <f>"1/1"</f>
        <v>1/1</v>
      </c>
      <c r="C80" s="7"/>
      <c r="D80" s="8">
        <f>((C80)*(H80)*(I80))/(G80*1)</f>
        <v>0</v>
      </c>
      <c r="E80" s="8">
        <f>D80/10000</f>
        <v>0</v>
      </c>
      <c r="G80" s="9">
        <f>digestion_page!B21</f>
        <v>1.5053000000000001</v>
      </c>
      <c r="H80" s="9">
        <f>digestion_page!C21</f>
        <v>50</v>
      </c>
      <c r="I80" s="9">
        <f>(LEFT(B80,FIND("/",B80)-1)/RIGHT(B80,LEN(B80)-FIND("/", B80)))</f>
        <v>1</v>
      </c>
    </row>
    <row r="81" spans="1:9" x14ac:dyDescent="0.25">
      <c r="A81" s="3" t="s">
        <v>24</v>
      </c>
      <c r="B81" s="4" t="str">
        <f>"1/1"</f>
        <v>1/1</v>
      </c>
      <c r="C81" s="7"/>
      <c r="D81" s="8">
        <f>((C81)*(H81)*(I81))/(G81*1)</f>
        <v>0</v>
      </c>
      <c r="E81" s="8">
        <f>D81/10000</f>
        <v>0</v>
      </c>
      <c r="G81" s="9">
        <f>digestion_page!B22</f>
        <v>1.5019</v>
      </c>
      <c r="H81" s="9">
        <f>digestion_page!C22</f>
        <v>50</v>
      </c>
      <c r="I81" s="9">
        <f>(LEFT(B81,FIND("/",B81)-1)/RIGHT(B81,LEN(B81)-FIND("/", B81)))</f>
        <v>1</v>
      </c>
    </row>
    <row r="83" spans="1:9" x14ac:dyDescent="0.25">
      <c r="A83" s="19" t="s">
        <v>73</v>
      </c>
      <c r="B83" s="19"/>
      <c r="C83" s="11">
        <f>AVERAGE(D79:D81)</f>
        <v>0</v>
      </c>
    </row>
    <row r="84" spans="1:9" x14ac:dyDescent="0.25">
      <c r="A84" s="19" t="s">
        <v>73</v>
      </c>
      <c r="B84" s="19"/>
      <c r="C84" s="12">
        <f>AVERAGE(E79:E81)</f>
        <v>0</v>
      </c>
    </row>
    <row r="85" spans="1:9" x14ac:dyDescent="0.25">
      <c r="A85" s="19" t="s">
        <v>74</v>
      </c>
      <c r="B85" s="19"/>
      <c r="C85" s="6"/>
    </row>
    <row r="86" spans="1:9" x14ac:dyDescent="0.25">
      <c r="A86" s="19" t="s">
        <v>75</v>
      </c>
      <c r="B86" s="19"/>
      <c r="C86" s="12">
        <f>AVERAGE(E79:E81)*(C85)</f>
        <v>0</v>
      </c>
    </row>
    <row r="87" spans="1:9" x14ac:dyDescent="0.25">
      <c r="A87" s="19" t="s">
        <v>76</v>
      </c>
      <c r="B87" s="19"/>
      <c r="C87" s="17" t="s">
        <v>105</v>
      </c>
      <c r="D87" s="17"/>
      <c r="E87" s="17"/>
      <c r="F87" s="17"/>
    </row>
    <row r="89" spans="1:9" x14ac:dyDescent="0.25">
      <c r="A89" s="20" t="s">
        <v>77</v>
      </c>
      <c r="B89" s="20"/>
    </row>
    <row r="90" spans="1:9" x14ac:dyDescent="0.25">
      <c r="A90" s="3" t="s">
        <v>26</v>
      </c>
      <c r="B90" s="3" t="s">
        <v>27</v>
      </c>
      <c r="C90" s="3" t="s">
        <v>28</v>
      </c>
      <c r="D90" s="3" t="s">
        <v>78</v>
      </c>
      <c r="E90" s="3" t="s">
        <v>79</v>
      </c>
    </row>
    <row r="91" spans="1:9" x14ac:dyDescent="0.25">
      <c r="A91" s="3" t="s">
        <v>22</v>
      </c>
      <c r="B91" s="4" t="str">
        <f>"1/1"</f>
        <v>1/1</v>
      </c>
      <c r="C91" s="7"/>
      <c r="D91" s="8">
        <f>((C91)*(H91)*(I91))/(G91*1)</f>
        <v>0</v>
      </c>
      <c r="E91" s="8">
        <f>D91/10000</f>
        <v>0</v>
      </c>
      <c r="G91" s="9">
        <f>digestion_page!B20</f>
        <v>1.5011000000000001</v>
      </c>
      <c r="H91" s="9">
        <f>digestion_page!C20</f>
        <v>50</v>
      </c>
      <c r="I91" s="9">
        <f>(LEFT(B91,FIND("/",B91)-1)/RIGHT(B91,LEN(B91)-FIND("/", B91)))</f>
        <v>1</v>
      </c>
    </row>
    <row r="92" spans="1:9" x14ac:dyDescent="0.25">
      <c r="A92" s="3" t="s">
        <v>23</v>
      </c>
      <c r="B92" s="4" t="str">
        <f>"1/1"</f>
        <v>1/1</v>
      </c>
      <c r="C92" s="7"/>
      <c r="D92" s="8">
        <f>((C92)*(H92)*(I92))/(G92*1)</f>
        <v>0</v>
      </c>
      <c r="E92" s="8">
        <f>D92/10000</f>
        <v>0</v>
      </c>
      <c r="G92" s="9">
        <f>digestion_page!B21</f>
        <v>1.5053000000000001</v>
      </c>
      <c r="H92" s="9">
        <f>digestion_page!C21</f>
        <v>50</v>
      </c>
      <c r="I92" s="9">
        <f>(LEFT(B92,FIND("/",B92)-1)/RIGHT(B92,LEN(B92)-FIND("/", B92)))</f>
        <v>1</v>
      </c>
    </row>
    <row r="93" spans="1:9" x14ac:dyDescent="0.25">
      <c r="A93" s="3" t="s">
        <v>24</v>
      </c>
      <c r="B93" s="4" t="str">
        <f>"1/1"</f>
        <v>1/1</v>
      </c>
      <c r="C93" s="7"/>
      <c r="D93" s="8">
        <f>((C93)*(H93)*(I93))/(G93*1)</f>
        <v>0</v>
      </c>
      <c r="E93" s="8">
        <f>D93/10000</f>
        <v>0</v>
      </c>
      <c r="G93" s="9">
        <f>digestion_page!B22</f>
        <v>1.5019</v>
      </c>
      <c r="H93" s="9">
        <f>digestion_page!C22</f>
        <v>50</v>
      </c>
      <c r="I93" s="9">
        <f>(LEFT(B93,FIND("/",B93)-1)/RIGHT(B93,LEN(B93)-FIND("/", B93)))</f>
        <v>1</v>
      </c>
    </row>
    <row r="95" spans="1:9" x14ac:dyDescent="0.25">
      <c r="A95" s="19" t="s">
        <v>80</v>
      </c>
      <c r="B95" s="19"/>
      <c r="C95" s="11">
        <f>AVERAGE(D91:D93)</f>
        <v>0</v>
      </c>
    </row>
    <row r="96" spans="1:9" x14ac:dyDescent="0.25">
      <c r="A96" s="19" t="s">
        <v>80</v>
      </c>
      <c r="B96" s="19"/>
      <c r="C96" s="12">
        <f>AVERAGE(E91:E93)</f>
        <v>0</v>
      </c>
    </row>
    <row r="97" spans="1:6" x14ac:dyDescent="0.25">
      <c r="A97" s="19" t="s">
        <v>81</v>
      </c>
      <c r="B97" s="19"/>
      <c r="C97" s="6"/>
    </row>
    <row r="98" spans="1:6" x14ac:dyDescent="0.25">
      <c r="A98" s="19" t="s">
        <v>82</v>
      </c>
      <c r="B98" s="19"/>
      <c r="C98" s="12">
        <f>AVERAGE(E91:E93)*(C97)</f>
        <v>0</v>
      </c>
    </row>
    <row r="99" spans="1:6" x14ac:dyDescent="0.25">
      <c r="A99" s="19" t="s">
        <v>83</v>
      </c>
      <c r="B99" s="19"/>
      <c r="C99" s="17" t="s">
        <v>106</v>
      </c>
      <c r="D99" s="17"/>
      <c r="E99" s="17"/>
      <c r="F99" s="17"/>
    </row>
    <row r="101" spans="1:6" x14ac:dyDescent="0.25">
      <c r="B101" s="10" t="s">
        <v>84</v>
      </c>
      <c r="C101" s="18"/>
      <c r="D101" s="18"/>
      <c r="E101" s="18"/>
      <c r="F101" s="18"/>
    </row>
    <row r="102" spans="1:6" x14ac:dyDescent="0.25">
      <c r="C102" s="18"/>
      <c r="D102" s="18"/>
      <c r="E102" s="18"/>
      <c r="F102" s="18"/>
    </row>
    <row r="103" spans="1:6" x14ac:dyDescent="0.25">
      <c r="C103" s="18"/>
      <c r="D103" s="18"/>
      <c r="E103" s="18"/>
      <c r="F103" s="18"/>
    </row>
  </sheetData>
  <mergeCells count="57">
    <mergeCell ref="A5:B5"/>
    <mergeCell ref="A11:B11"/>
    <mergeCell ref="A12:B12"/>
    <mergeCell ref="A13:B13"/>
    <mergeCell ref="A14:B14"/>
    <mergeCell ref="A15:B15"/>
    <mergeCell ref="C15:F15"/>
    <mergeCell ref="A17:B17"/>
    <mergeCell ref="A23:B23"/>
    <mergeCell ref="A24:B24"/>
    <mergeCell ref="A25:B25"/>
    <mergeCell ref="A26:B26"/>
    <mergeCell ref="A27:B27"/>
    <mergeCell ref="C27:F27"/>
    <mergeCell ref="A29:B29"/>
    <mergeCell ref="A35:B35"/>
    <mergeCell ref="A36:B36"/>
    <mergeCell ref="A37:B37"/>
    <mergeCell ref="A38:B38"/>
    <mergeCell ref="A39:B39"/>
    <mergeCell ref="C39:F39"/>
    <mergeCell ref="A41:B41"/>
    <mergeCell ref="A47:B47"/>
    <mergeCell ref="A48:B48"/>
    <mergeCell ref="A49:B49"/>
    <mergeCell ref="A50:B50"/>
    <mergeCell ref="A51:B51"/>
    <mergeCell ref="C51:F51"/>
    <mergeCell ref="A53:B53"/>
    <mergeCell ref="A59:B59"/>
    <mergeCell ref="A60:B60"/>
    <mergeCell ref="A61:B61"/>
    <mergeCell ref="A62:B62"/>
    <mergeCell ref="A63:B63"/>
    <mergeCell ref="C63:F63"/>
    <mergeCell ref="A65:B65"/>
    <mergeCell ref="A71:B71"/>
    <mergeCell ref="A72:B72"/>
    <mergeCell ref="A73:B73"/>
    <mergeCell ref="A74:B74"/>
    <mergeCell ref="A75:B75"/>
    <mergeCell ref="C75:F75"/>
    <mergeCell ref="A77:B77"/>
    <mergeCell ref="A83:B83"/>
    <mergeCell ref="A84:B84"/>
    <mergeCell ref="A85:B85"/>
    <mergeCell ref="A86:B86"/>
    <mergeCell ref="A87:B87"/>
    <mergeCell ref="C87:F87"/>
    <mergeCell ref="A89:B89"/>
    <mergeCell ref="C99:F99"/>
    <mergeCell ref="C101:F103"/>
    <mergeCell ref="A95:B95"/>
    <mergeCell ref="A96:B96"/>
    <mergeCell ref="A97:B97"/>
    <mergeCell ref="A98:B98"/>
    <mergeCell ref="A99:B99"/>
  </mergeCells>
  <conditionalFormatting sqref="C27:F27">
    <cfRule type="containsBlanks" dxfId="13" priority="9">
      <formula>LEN(TRIM(C27))=0</formula>
    </cfRule>
  </conditionalFormatting>
  <conditionalFormatting sqref="C15:F15">
    <cfRule type="containsBlanks" dxfId="6" priority="7">
      <formula>LEN(TRIM(C15))=0</formula>
    </cfRule>
  </conditionalFormatting>
  <conditionalFormatting sqref="C39:F39">
    <cfRule type="containsBlanks" dxfId="5" priority="6">
      <formula>LEN(TRIM(C39))=0</formula>
    </cfRule>
  </conditionalFormatting>
  <conditionalFormatting sqref="C51:F51">
    <cfRule type="containsBlanks" dxfId="4" priority="5">
      <formula>LEN(TRIM(C51))=0</formula>
    </cfRule>
  </conditionalFormatting>
  <conditionalFormatting sqref="C63:F63">
    <cfRule type="containsBlanks" dxfId="3" priority="4">
      <formula>LEN(TRIM(C63))=0</formula>
    </cfRule>
  </conditionalFormatting>
  <conditionalFormatting sqref="C75:F75">
    <cfRule type="containsBlanks" dxfId="2" priority="3">
      <formula>LEN(TRIM(C75))=0</formula>
    </cfRule>
  </conditionalFormatting>
  <conditionalFormatting sqref="C87:F87">
    <cfRule type="containsBlanks" dxfId="1" priority="2">
      <formula>LEN(TRIM(C87))=0</formula>
    </cfRule>
  </conditionalFormatting>
  <conditionalFormatting sqref="C99:F99">
    <cfRule type="containsBlanks" dxfId="0" priority="1">
      <formula>LEN(TRIM(C99))=0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3"/>
  <sheetViews>
    <sheetView workbookViewId="0"/>
  </sheetViews>
  <sheetFormatPr defaultRowHeight="15" x14ac:dyDescent="0.25"/>
  <cols>
    <col min="1" max="1" width="46.140625" bestFit="1" customWidth="1"/>
  </cols>
  <sheetData>
    <row r="1" spans="1:1" x14ac:dyDescent="0.25">
      <c r="A1" s="13" t="s">
        <v>85</v>
      </c>
    </row>
    <row r="2" spans="1:1" x14ac:dyDescent="0.25">
      <c r="A2" s="13" t="s">
        <v>86</v>
      </c>
    </row>
    <row r="3" spans="1:1" x14ac:dyDescent="0.25">
      <c r="A3" s="13" t="s">
        <v>87</v>
      </c>
    </row>
    <row r="5" spans="1:1" x14ac:dyDescent="0.25">
      <c r="A5" s="13" t="s">
        <v>88</v>
      </c>
    </row>
    <row r="7" spans="1:1" x14ac:dyDescent="0.25">
      <c r="A7" s="13" t="s">
        <v>89</v>
      </c>
    </row>
    <row r="9" spans="1:1" x14ac:dyDescent="0.25">
      <c r="A9" s="13" t="s">
        <v>90</v>
      </c>
    </row>
    <row r="11" spans="1:1" x14ac:dyDescent="0.25">
      <c r="A11" s="13" t="s">
        <v>91</v>
      </c>
    </row>
    <row r="13" spans="1:1" x14ac:dyDescent="0.25">
      <c r="A13" s="13" t="s">
        <v>92</v>
      </c>
    </row>
    <row r="15" spans="1:1" x14ac:dyDescent="0.25">
      <c r="A15" s="13" t="s">
        <v>93</v>
      </c>
    </row>
    <row r="17" spans="1:1" x14ac:dyDescent="0.25">
      <c r="A17" s="13" t="s">
        <v>94</v>
      </c>
    </row>
    <row r="19" spans="1:1" x14ac:dyDescent="0.25">
      <c r="A19" s="13" t="s">
        <v>95</v>
      </c>
    </row>
    <row r="21" spans="1:1" x14ac:dyDescent="0.25">
      <c r="A21" s="13" t="s">
        <v>96</v>
      </c>
    </row>
    <row r="23" spans="1:1" x14ac:dyDescent="0.25">
      <c r="A23" s="1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digestion_page</vt:lpstr>
      <vt:lpstr>200127815</vt:lpstr>
      <vt:lpstr>200127816</vt:lpstr>
      <vt:lpstr>formula_page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 Archemetre</cp:lastModifiedBy>
  <dcterms:created xsi:type="dcterms:W3CDTF">2026-05-11T18:49:50Z</dcterms:created>
  <dcterms:modified xsi:type="dcterms:W3CDTF">2026-05-11T19:55:50Z</dcterms:modified>
</cp:coreProperties>
</file>