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7910" sheetId="2" r:id="rId2"/>
    <sheet name="200127911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<sst xmlns="http://schemas.openxmlformats.org/spreadsheetml/2006/main" count="96" uniqueCount="54">
  <si>
    <t>Date:</t>
  </si>
  <si>
    <t>Request ID:</t>
  </si>
  <si>
    <t>100048528</t>
  </si>
  <si>
    <t>Microwave</t>
  </si>
  <si>
    <t>Element(s)</t>
  </si>
  <si>
    <t>Al, Zr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</si>
  <si>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</si>
  <si>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</si>
  <si>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</si>
  <si>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</si>
  <si>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</si>
  <si>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</si>
  <si>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</si>
  <si>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</si>
  <si>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</si>
  <si>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</si>
  <si>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</si>
  <si>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</si>
  <si>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</si>
  <si>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200127910_1</t>
  </si>
  <si>
    <t>200127910_2</t>
  </si>
  <si>
    <t>200127911_1</t>
  </si>
  <si>
    <t>200127911_2</t>
  </si>
  <si>
    <t>Al ICP analysis</t>
  </si>
  <si>
    <t>sample</t>
  </si>
  <si>
    <t>Dilution</t>
  </si>
  <si>
    <t>conc. [mg/L]</t>
  </si>
  <si>
    <t>Al_ppm</t>
  </si>
  <si>
    <t>%Al</t>
  </si>
  <si>
    <t>al result:</t>
  </si>
  <si>
    <t>al oxide factor:</t>
  </si>
  <si>
    <t>al oxide result:</t>
  </si>
  <si>
    <t>al lot:</t>
  </si>
  <si>
    <t>Zr ICP analysis</t>
  </si>
  <si>
    <t>Zr_ppm</t>
  </si>
  <si>
    <t>%Zr</t>
  </si>
  <si>
    <t>zr result:</t>
  </si>
  <si>
    <t>zr oxide factor:</t>
  </si>
  <si>
    <t>zr oxide result:</t>
  </si>
  <si>
    <t>zr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</si>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</sst>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0" fillId="0" borderId="0" xfId="0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0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46157</v>
      </c>
    </row>
    <row r="2" spans="1:5">
      <c r="A2" s="1" t="s">
        <v>1</v>
      </c>
      <c r="B2" t="s">
        <v>2</v>
      </c>
    </row>
    <row r="5" spans="1:5">
      <c r="A5" s="3" t="s">
        <v>3</v>
      </c>
      <c r="B5" s="3"/>
      <c r="C5" s="3"/>
      <c r="D5" s="3"/>
      <c r="E5" s="3"/>
    </row>
    <row r="6" spans="1:5">
      <c r="A6" s="4" t="s">
        <v>4</v>
      </c>
      <c r="B6" s="5" t="s">
        <v>5</v>
      </c>
      <c r="C6" s="5"/>
      <c r="D6" s="5"/>
      <c r="E6" s="5"/>
    </row>
    <row r="7" spans="1:5">
      <c r="A7" s="4" t="s">
        <v>6</v>
      </c>
      <c r="B7" s="5"/>
      <c r="C7" s="5"/>
      <c r="D7" s="5"/>
      <c r="E7" s="5"/>
    </row>
    <row r="8" spans="1:5">
      <c r="A8" s="4" t="s">
        <v>7</v>
      </c>
      <c r="B8" s="5"/>
      <c r="C8" s="5"/>
      <c r="D8" s="5"/>
      <c r="E8" s="5"/>
    </row>
    <row r="9" spans="1:5">
      <c r="A9" s="4" t="s">
        <v>8</v>
      </c>
      <c r="B9" s="6"/>
      <c r="C9" s="6"/>
      <c r="D9" s="6"/>
      <c r="E9" s="6"/>
    </row>
    <row r="10" spans="1:5">
      <c r="A10" s="4" t="s">
        <v>9</v>
      </c>
      <c r="B10" s="5"/>
      <c r="C10" s="5"/>
      <c r="D10" s="5"/>
      <c r="E10" s="5"/>
    </row>
    <row r="11" spans="1:5">
      <c r="A11" s="4" t="s">
        <v>10</v>
      </c>
      <c r="B11" s="6"/>
      <c r="C11" s="6"/>
      <c r="D11" s="6"/>
      <c r="E11" s="6"/>
    </row>
    <row r="12" spans="1:5">
      <c r="A12" s="4" t="s">
        <v>11</v>
      </c>
      <c r="B12" s="4" t="s">
        <v>12</v>
      </c>
      <c r="C12" s="4" t="s">
        <v>13</v>
      </c>
      <c r="D12" s="4" t="s">
        <v>14</v>
      </c>
      <c r="E12" s="4" t="s">
        <v>15</v>
      </c>
    </row>
    <row r="13" spans="1:5">
      <c r="A13" s="5">
        <v>15</v>
      </c>
      <c r="B13" s="5">
        <v>1200</v>
      </c>
      <c r="C13" s="5">
        <v>180</v>
      </c>
      <c r="D13" s="5">
        <v>65</v>
      </c>
      <c r="E13" s="5">
        <v>110</v>
      </c>
    </row>
    <row r="14" spans="1:5">
      <c r="A14" s="5">
        <v>15</v>
      </c>
      <c r="B14" s="5">
        <v>1500</v>
      </c>
      <c r="C14" s="5">
        <v>240</v>
      </c>
      <c r="D14" s="5">
        <v>65</v>
      </c>
      <c r="E14" s="5">
        <v>110</v>
      </c>
    </row>
    <row r="15" spans="1:5">
      <c r="A15" s="5"/>
      <c r="B15" s="5"/>
      <c r="C15" s="5"/>
      <c r="D15" s="5"/>
      <c r="E15" s="5"/>
    </row>
    <row r="16" spans="1:5">
      <c r="A16" s="4" t="s">
        <v>16</v>
      </c>
      <c r="B16" s="4" t="s">
        <v>17</v>
      </c>
      <c r="C16" s="4" t="s">
        <v>18</v>
      </c>
    </row>
    <row r="17" spans="1:3">
      <c r="A17" s="4" t="s">
        <v>19</v>
      </c>
      <c r="B17" s="7"/>
      <c r="C17" s="5"/>
    </row>
    <row r="18" spans="1:3">
      <c r="A18" s="4" t="s">
        <v>20</v>
      </c>
      <c r="B18" s="7"/>
      <c r="C18" s="5"/>
    </row>
    <row r="19" spans="1:3">
      <c r="A19" s="4" t="s">
        <v>21</v>
      </c>
      <c r="B19" s="7"/>
      <c r="C19" s="5"/>
    </row>
    <row r="20" spans="1:3">
      <c r="A20" s="4" t="s">
        <v>22</v>
      </c>
      <c r="B20" s="7"/>
      <c r="C20" s="5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140625" bestFit="1" customWidth="1"/>
    <col min="2" max="2" width="10.7109375" bestFit="1" customWidth="1"/>
    <col min="3" max="3" width="12.7109375" customWidth="1"/>
    <col min="4" max="4" width="7.85546875" bestFit="1" customWidth="1"/>
    <col min="5" max="5" width="4.42578125" bestFit="1" customWidth="1"/>
  </cols>
  <sheetData>
    <row r="1" spans="1:9">
      <c r="A1" s="1" t="s">
        <v>0</v>
      </c>
      <c r="B1" s="2">
        <v>46157</v>
      </c>
    </row>
    <row r="2" spans="1:9">
      <c r="A2" s="1" t="s">
        <v>1</v>
      </c>
      <c r="B2" t="s">
        <v>2</v>
      </c>
    </row>
    <row r="5" spans="1:9">
      <c r="A5" s="8" t="s">
        <v>23</v>
      </c>
      <c r="B5" s="8"/>
    </row>
    <row r="6" spans="1:9">
      <c r="A6" s="4" t="s">
        <v>24</v>
      </c>
      <c r="B6" s="4" t="s">
        <v>25</v>
      </c>
      <c r="C6" s="4" t="s">
        <v>26</v>
      </c>
      <c r="D6" s="4" t="s">
        <v>27</v>
      </c>
      <c r="E6" s="4" t="s">
        <v>28</v>
      </c>
    </row>
    <row r="7" spans="1:9">
      <c r="A7" s="4" t="s">
        <v>19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4" t="s">
        <v>20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29</v>
      </c>
      <c r="B10" s="12"/>
      <c r="C10" s="13">
        <f>AVERAGE(D7:D8)</f>
        <v>0</v>
      </c>
    </row>
    <row r="11" spans="1:9">
      <c r="A11" s="12" t="s">
        <v>29</v>
      </c>
      <c r="B11" s="12"/>
      <c r="C11" s="14">
        <f>AVERAGE(E7:E8)</f>
        <v>0</v>
      </c>
    </row>
    <row r="12" spans="1:9">
      <c r="A12" s="12" t="s">
        <v>30</v>
      </c>
      <c r="B12" s="12"/>
      <c r="C12" s="8"/>
    </row>
    <row r="13" spans="1:9">
      <c r="A13" s="12" t="s">
        <v>31</v>
      </c>
      <c r="B13" s="12"/>
      <c r="C13" s="14">
        <f>AVERAGE(E7:E8)*(C12)</f>
        <v>0</v>
      </c>
    </row>
    <row r="14" spans="1:9">
      <c r="A14" s="12" t="s">
        <v>32</v>
      </c>
      <c r="B14" s="12"/>
      <c r="C14" s="15"/>
      <c r="D14" s="15"/>
      <c r="E14" s="15"/>
      <c r="F14" s="15"/>
    </row>
    <row r="16" spans="1:9">
      <c r="A16" s="8" t="s">
        <v>33</v>
      </c>
      <c r="B16" s="8"/>
    </row>
    <row r="17" spans="1:9">
      <c r="A17" s="4" t="s">
        <v>24</v>
      </c>
      <c r="B17" s="4" t="s">
        <v>25</v>
      </c>
      <c r="C17" s="4" t="s">
        <v>26</v>
      </c>
      <c r="D17" s="4" t="s">
        <v>34</v>
      </c>
      <c r="E17" s="4" t="s">
        <v>35</v>
      </c>
    </row>
    <row r="18" spans="1:9">
      <c r="A18" s="4" t="s">
        <v>19</v>
      </c>
      <c r="B18" s="5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digestion_page!B17</f>
        <v>0</v>
      </c>
      <c r="H18" s="11">
        <f>digestion_page!C17</f>
        <v>0</v>
      </c>
      <c r="I18" s="11">
        <f>(LEFT(B18,FIND("/",B18)-1)/RIGHT(B18,LEN(B18)-FIND("/", B18)))</f>
        <v>0</v>
      </c>
    </row>
    <row r="19" spans="1:9">
      <c r="A19" s="4" t="s">
        <v>20</v>
      </c>
      <c r="B19" s="5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digestion_page!B18</f>
        <v>0</v>
      </c>
      <c r="H19" s="11">
        <f>digestion_page!C18</f>
        <v>0</v>
      </c>
      <c r="I19" s="11">
        <f>(LEFT(B19,FIND("/",B19)-1)/RIGHT(B19,LEN(B19)-FIND("/", B19)))</f>
        <v>0</v>
      </c>
    </row>
    <row r="21" spans="1:9">
      <c r="A21" s="12" t="s">
        <v>36</v>
      </c>
      <c r="B21" s="12"/>
      <c r="C21" s="13">
        <f>AVERAGE(D18:D19)</f>
        <v>0</v>
      </c>
    </row>
    <row r="22" spans="1:9">
      <c r="A22" s="12" t="s">
        <v>36</v>
      </c>
      <c r="B22" s="12"/>
      <c r="C22" s="14">
        <f>AVERAGE(E18:E19)</f>
        <v>0</v>
      </c>
    </row>
    <row r="23" spans="1:9">
      <c r="A23" s="12" t="s">
        <v>37</v>
      </c>
      <c r="B23" s="12"/>
      <c r="C23" s="8"/>
    </row>
    <row r="24" spans="1:9">
      <c r="A24" s="12" t="s">
        <v>38</v>
      </c>
      <c r="B24" s="12"/>
      <c r="C24" s="14">
        <f>AVERAGE(E18:E19)*(C23)</f>
        <v>0</v>
      </c>
    </row>
    <row r="25" spans="1:9">
      <c r="A25" s="12" t="s">
        <v>39</v>
      </c>
      <c r="B25" s="12"/>
      <c r="C25" s="15"/>
      <c r="D25" s="15"/>
      <c r="E25" s="15"/>
      <c r="F25" s="15"/>
    </row>
    <row r="27" spans="1:9">
      <c r="B27" s="12" t="s">
        <v>40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140625" bestFit="1" customWidth="1"/>
    <col min="2" max="2" width="10.7109375" bestFit="1" customWidth="1"/>
    <col min="3" max="3" width="12.7109375" customWidth="1"/>
    <col min="4" max="4" width="7.85546875" bestFit="1" customWidth="1"/>
    <col min="5" max="5" width="4.42578125" bestFit="1" customWidth="1"/>
  </cols>
  <sheetData>
    <row r="1" spans="1:9">
      <c r="A1" s="1" t="s">
        <v>0</v>
      </c>
      <c r="B1" s="2">
        <v>46157</v>
      </c>
    </row>
    <row r="2" spans="1:9">
      <c r="A2" s="1" t="s">
        <v>1</v>
      </c>
      <c r="B2" t="s">
        <v>2</v>
      </c>
    </row>
    <row r="5" spans="1:9">
      <c r="A5" s="8" t="s">
        <v>23</v>
      </c>
      <c r="B5" s="8"/>
    </row>
    <row r="6" spans="1:9">
      <c r="A6" s="4" t="s">
        <v>24</v>
      </c>
      <c r="B6" s="4" t="s">
        <v>25</v>
      </c>
      <c r="C6" s="4" t="s">
        <v>26</v>
      </c>
      <c r="D6" s="4" t="s">
        <v>27</v>
      </c>
      <c r="E6" s="4" t="s">
        <v>28</v>
      </c>
    </row>
    <row r="7" spans="1:9">
      <c r="A7" s="4" t="s">
        <v>21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4" t="s">
        <v>22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29</v>
      </c>
      <c r="B10" s="12"/>
      <c r="C10" s="13">
        <f>AVERAGE(D7:D8)</f>
        <v>0</v>
      </c>
    </row>
    <row r="11" spans="1:9">
      <c r="A11" s="12" t="s">
        <v>29</v>
      </c>
      <c r="B11" s="12"/>
      <c r="C11" s="14">
        <f>AVERAGE(E7:E8)</f>
        <v>0</v>
      </c>
    </row>
    <row r="12" spans="1:9">
      <c r="A12" s="12" t="s">
        <v>30</v>
      </c>
      <c r="B12" s="12"/>
      <c r="C12" s="8"/>
    </row>
    <row r="13" spans="1:9">
      <c r="A13" s="12" t="s">
        <v>31</v>
      </c>
      <c r="B13" s="12"/>
      <c r="C13" s="14">
        <f>AVERAGE(E7:E8)*(C12)</f>
        <v>0</v>
      </c>
    </row>
    <row r="14" spans="1:9">
      <c r="A14" s="12" t="s">
        <v>32</v>
      </c>
      <c r="B14" s="12"/>
      <c r="C14" s="15"/>
      <c r="D14" s="15"/>
      <c r="E14" s="15"/>
      <c r="F14" s="15"/>
    </row>
    <row r="16" spans="1:9">
      <c r="A16" s="8" t="s">
        <v>33</v>
      </c>
      <c r="B16" s="8"/>
    </row>
    <row r="17" spans="1:9">
      <c r="A17" s="4" t="s">
        <v>24</v>
      </c>
      <c r="B17" s="4" t="s">
        <v>25</v>
      </c>
      <c r="C17" s="4" t="s">
        <v>26</v>
      </c>
      <c r="D17" s="4" t="s">
        <v>34</v>
      </c>
      <c r="E17" s="4" t="s">
        <v>35</v>
      </c>
    </row>
    <row r="18" spans="1:9">
      <c r="A18" s="4" t="s">
        <v>21</v>
      </c>
      <c r="B18" s="5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digestion_page!B19</f>
        <v>0</v>
      </c>
      <c r="H18" s="11">
        <f>digestion_page!C19</f>
        <v>0</v>
      </c>
      <c r="I18" s="11">
        <f>(LEFT(B18,FIND("/",B18)-1)/RIGHT(B18,LEN(B18)-FIND("/", B18)))</f>
        <v>0</v>
      </c>
    </row>
    <row r="19" spans="1:9">
      <c r="A19" s="4" t="s">
        <v>22</v>
      </c>
      <c r="B19" s="5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digestion_page!B20</f>
        <v>0</v>
      </c>
      <c r="H19" s="11">
        <f>digestion_page!C20</f>
        <v>0</v>
      </c>
      <c r="I19" s="11">
        <f>(LEFT(B19,FIND("/",B19)-1)/RIGHT(B19,LEN(B19)-FIND("/", B19)))</f>
        <v>0</v>
      </c>
    </row>
    <row r="21" spans="1:9">
      <c r="A21" s="12" t="s">
        <v>36</v>
      </c>
      <c r="B21" s="12"/>
      <c r="C21" s="13">
        <f>AVERAGE(D18:D19)</f>
        <v>0</v>
      </c>
    </row>
    <row r="22" spans="1:9">
      <c r="A22" s="12" t="s">
        <v>36</v>
      </c>
      <c r="B22" s="12"/>
      <c r="C22" s="14">
        <f>AVERAGE(E18:E19)</f>
        <v>0</v>
      </c>
    </row>
    <row r="23" spans="1:9">
      <c r="A23" s="12" t="s">
        <v>37</v>
      </c>
      <c r="B23" s="12"/>
      <c r="C23" s="8"/>
    </row>
    <row r="24" spans="1:9">
      <c r="A24" s="12" t="s">
        <v>38</v>
      </c>
      <c r="B24" s="12"/>
      <c r="C24" s="14">
        <f>AVERAGE(E18:E19)*(C23)</f>
        <v>0</v>
      </c>
    </row>
    <row r="25" spans="1:9">
      <c r="A25" s="12" t="s">
        <v>39</v>
      </c>
      <c r="B25" s="12"/>
      <c r="C25" s="15"/>
      <c r="D25" s="15"/>
      <c r="E25" s="15"/>
      <c r="F25" s="15"/>
    </row>
    <row r="27" spans="1:9">
      <c r="B27" s="12" t="s">
        <v>40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41</v>
      </c>
    </row>
    <row r="2" spans="1:1">
      <c r="A2" s="17" t="s">
        <v>42</v>
      </c>
    </row>
    <row r="3" spans="1:1">
      <c r="A3" s="17" t="s">
        <v>43</v>
      </c>
    </row>
    <row r="5" spans="1:1">
      <c r="A5" s="17" t="s">
        <v>44</v>
      </c>
    </row>
    <row r="7" spans="1:1">
      <c r="A7" s="17" t="s">
        <v>45</v>
      </c>
    </row>
    <row r="9" spans="1:1">
      <c r="A9" s="17" t="s">
        <v>46</v>
      </c>
    </row>
    <row r="11" spans="1:1">
      <c r="A11" s="17" t="s">
        <v>47</v>
      </c>
    </row>
    <row r="13" spans="1:1">
      <c r="A13" s="17" t="s">
        <v>48</v>
      </c>
    </row>
    <row r="15" spans="1:1">
      <c r="A15" s="17" t="s">
        <v>49</v>
      </c>
    </row>
    <row r="17" spans="1:1">
      <c r="A17" s="17" t="s">
        <v>50</v>
      </c>
    </row>
    <row r="19" spans="1:1">
      <c r="A19" s="17" t="s">
        <v>51</v>
      </c>
    </row>
    <row r="21" spans="1:1">
      <c r="A21" s="17" t="s">
        <v>52</v>
      </c>
    </row>
    <row r="23" spans="1:1">
      <c r="A23" s="17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200127910</vt:lpstr>
      <vt:lpstr>200127911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2026-05-15T15:06:03Z</dcterms:created>
  <dcterms:modified xsi:type="dcterms:W3CDTF">2026-05-15T15:06:03Z</dcterms:modified>
</cp:coreProperties>
</file>