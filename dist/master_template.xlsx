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gestion_page" sheetId="1" r:id="rId1"/>
    <sheet name="200126511" sheetId="2" r:id="rId2"/>
    <sheet name="200126512" sheetId="3" r:id="rId3"/>
    <sheet name="formula_page" sheetId="4" r:id="rId4"/>
  </sheets>
  <calcPr calcId="124519" fullCalcOnLoad="1"/>
</workbook>
</file>

<file path=xl/sharedStrings.xml><?xml version="1.0" encoding="utf-8"?>
<sst xmlns="http://schemas.openxmlformats.org/spreadsheetml/2006/main" count="100" uniqueCount="47">
  <si>
    <t>Date:</t>
  </si>
  <si>
    <t>Request ID:</t>
  </si>
  <si>
    <t>test</t>
  </si>
  <si>
    <t>Hotplate</t>
  </si>
  <si>
    <t>Element(s)</t>
  </si>
  <si>
    <t>cr6+_EPA</t>
  </si>
  <si>
    <t>SOP#</t>
  </si>
  <si>
    <t>Cocktail</t>
  </si>
  <si>
    <t>sample(s)</t>
  </si>
  <si>
    <t>weight (g)</t>
  </si>
  <si>
    <t>volume (mL)</t>
  </si>
  <si>
    <t>200126511_1</t>
  </si>
  <si>
    <t>200126511_2</t>
  </si>
  <si>
    <t>200126512_1</t>
  </si>
  <si>
    <t>200126512_2</t>
  </si>
  <si>
    <t>Cl</t>
  </si>
  <si>
    <t>cr6+_EPA UV-Vis analysis</t>
  </si>
  <si>
    <t>sample</t>
  </si>
  <si>
    <t>Dilution</t>
  </si>
  <si>
    <t>conc. [mg/L]</t>
  </si>
  <si>
    <t>cr6+_EPA_ppm</t>
  </si>
  <si>
    <t>%cr6+_EPA</t>
  </si>
  <si>
    <t>cr6+_epa result:</t>
  </si>
  <si>
    <t>cr6+_epa oxide factor:</t>
  </si>
  <si>
    <t>cr6+_epa oxide result:</t>
  </si>
  <si>
    <t>cr6+_epa lot:</t>
  </si>
  <si>
    <t>Cl IC analysis</t>
  </si>
  <si>
    <t>Cl_ppm</t>
  </si>
  <si>
    <t>%Cl</t>
  </si>
  <si>
    <t>cl result:</t>
  </si>
  <si>
    <t>cl oxide factor:</t>
  </si>
  <si>
    <t>cl oxide result:</t>
  </si>
  <si>
    <t>cl lot:</t>
  </si>
  <si>
    <t>Note(s):</t>
  </si>
  <si>
    <t>A = crucible</t>
  </si>
  <si>
    <t>B = crucible + sample</t>
  </si>
  <si>
    <t>C = crucible + sample after drying</t>
  </si>
  <si>
    <t>%LOI = ([B-A]-[C-A])/(B-A)*100%</t>
  </si>
  <si>
    <t>ppm M+ = [conc.][volume][dilution]/[weight]</t>
  </si>
  <si>
    <t>%M+ = [conc.][volume][dilution]/([weight]*10,000)</t>
  </si>
  <si>
    <t>%MO = [oxide factor]*%M+</t>
  </si>
  <si>
    <t>ppm M+  [dried] = ppm M+/([1-(%LOI)/100])</t>
  </si>
  <si>
    <t>%M+  [dried] = %M+/([1-(%LOI)/100])</t>
  </si>
  <si>
    <t>%MO [dried] = %MO/([1-(%LOI)/100])</t>
  </si>
  <si>
    <t>%Cr(VI) = (1.733[mL FAS][N FAS])/([weight])</t>
  </si>
  <si>
    <t>%Cr2O3 = 1.462*[%Cr(VI)]</t>
  </si>
  <si>
    <t>%Cr(III) = total_Cr - Cr(VI)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</si>
</sst>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0.0000"/>
    <numFmt numFmtId="166" formatCode="0.000"/>
    <numFmt numFmtId="167" formatCode="0.00"/>
    <numFmt numFmtId="168" formatCode="0.00&quot; ppm&quot;"/>
    <numFmt numFmtId="169" formatCode="0.00&quot; %&quot;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left"/>
    </xf>
    <xf numFmtId="166" fontId="0" fillId="0" borderId="1" xfId="0" applyNumberFormat="1" applyBorder="1"/>
    <xf numFmtId="167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righ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1">
    <dxf>
      <fill>
        <patternFill>
          <bgColor rgb="FFFFFF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12" bestFit="1" customWidth="1"/>
    <col min="2" max="2" width="10.7109375" bestFit="1" customWidth="1"/>
    <col min="3" max="3" width="12.140625" bestFit="1" customWidth="1"/>
  </cols>
  <sheetData>
    <row r="1" spans="1:3">
      <c r="A1" s="1" t="s">
        <v>0</v>
      </c>
      <c r="B1" s="2">
        <v>46154</v>
      </c>
    </row>
    <row r="2" spans="1:3">
      <c r="A2" s="1" t="s">
        <v>1</v>
      </c>
      <c r="B2" t="s">
        <v>2</v>
      </c>
    </row>
    <row r="5" spans="1:3">
      <c r="A5" s="3" t="s">
        <v>3</v>
      </c>
      <c r="B5" s="3"/>
      <c r="C5" s="3"/>
    </row>
    <row r="6" spans="1:3">
      <c r="A6" s="4" t="s">
        <v>4</v>
      </c>
      <c r="B6" s="5" t="s">
        <v>5</v>
      </c>
      <c r="C6" s="5"/>
    </row>
    <row r="7" spans="1:3">
      <c r="A7" s="4" t="s">
        <v>6</v>
      </c>
      <c r="B7" s="5"/>
      <c r="C7" s="5"/>
    </row>
    <row r="8" spans="1:3">
      <c r="A8" s="4" t="s">
        <v>7</v>
      </c>
      <c r="B8" s="5"/>
      <c r="C8" s="5"/>
    </row>
    <row r="9" spans="1:3">
      <c r="A9" s="4" t="s">
        <v>8</v>
      </c>
      <c r="B9" s="4" t="s">
        <v>9</v>
      </c>
      <c r="C9" s="4" t="s">
        <v>10</v>
      </c>
    </row>
    <row r="10" spans="1:3">
      <c r="A10" s="4" t="s">
        <v>11</v>
      </c>
      <c r="B10" s="6"/>
      <c r="C10" s="5"/>
    </row>
    <row r="11" spans="1:3">
      <c r="A11" s="4" t="s">
        <v>12</v>
      </c>
      <c r="B11" s="6"/>
      <c r="C11" s="5"/>
    </row>
    <row r="12" spans="1:3">
      <c r="A12" s="4" t="s">
        <v>13</v>
      </c>
      <c r="B12" s="6"/>
      <c r="C12" s="5"/>
    </row>
    <row r="13" spans="1:3">
      <c r="A13" s="4" t="s">
        <v>14</v>
      </c>
      <c r="B13" s="6"/>
      <c r="C13" s="5"/>
    </row>
    <row r="16" spans="1:3">
      <c r="A16" s="3" t="s">
        <v>3</v>
      </c>
      <c r="B16" s="3"/>
      <c r="C16" s="3"/>
    </row>
    <row r="17" spans="1:3">
      <c r="A17" s="4" t="s">
        <v>4</v>
      </c>
      <c r="B17" s="5" t="s">
        <v>15</v>
      </c>
      <c r="C17" s="5"/>
    </row>
    <row r="18" spans="1:3">
      <c r="A18" s="4" t="s">
        <v>6</v>
      </c>
      <c r="B18" s="5"/>
      <c r="C18" s="5"/>
    </row>
    <row r="19" spans="1:3">
      <c r="A19" s="4" t="s">
        <v>7</v>
      </c>
      <c r="B19" s="5"/>
      <c r="C19" s="5"/>
    </row>
    <row r="20" spans="1:3">
      <c r="A20" s="4" t="s">
        <v>8</v>
      </c>
      <c r="B20" s="4" t="s">
        <v>9</v>
      </c>
      <c r="C20" s="4" t="s">
        <v>10</v>
      </c>
    </row>
    <row r="21" spans="1:3">
      <c r="A21" s="4" t="s">
        <v>11</v>
      </c>
      <c r="B21" s="6"/>
      <c r="C21" s="5"/>
    </row>
    <row r="22" spans="1:3">
      <c r="A22" s="4" t="s">
        <v>12</v>
      </c>
      <c r="B22" s="6"/>
      <c r="C22" s="5"/>
    </row>
    <row r="23" spans="1:3">
      <c r="A23" s="4" t="s">
        <v>13</v>
      </c>
      <c r="B23" s="6"/>
      <c r="C23" s="5"/>
    </row>
    <row r="24" spans="1:3">
      <c r="A24" s="4" t="s">
        <v>14</v>
      </c>
      <c r="B24" s="6"/>
      <c r="C24" s="5"/>
    </row>
  </sheetData>
  <mergeCells count="8">
    <mergeCell ref="A5:C5"/>
    <mergeCell ref="B6:C6"/>
    <mergeCell ref="B7:C7"/>
    <mergeCell ref="B8:C8"/>
    <mergeCell ref="A16:C16"/>
    <mergeCell ref="B17:C17"/>
    <mergeCell ref="B18:C18"/>
    <mergeCell ref="B19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1" width="22.85546875" bestFit="1" customWidth="1"/>
    <col min="2" max="2" width="10.7109375" bestFit="1" customWidth="1"/>
    <col min="3" max="3" width="12.7109375" customWidth="1"/>
    <col min="4" max="4" width="14" bestFit="1" customWidth="1"/>
    <col min="5" max="5" width="10.5703125" bestFit="1" customWidth="1"/>
  </cols>
  <sheetData>
    <row r="1" spans="1:9">
      <c r="A1" s="1" t="s">
        <v>0</v>
      </c>
      <c r="B1" s="2">
        <v>46154</v>
      </c>
    </row>
    <row r="2" spans="1:9">
      <c r="A2" s="1" t="s">
        <v>1</v>
      </c>
      <c r="B2" t="s">
        <v>2</v>
      </c>
    </row>
    <row r="5" spans="1:9">
      <c r="A5" s="7" t="s">
        <v>16</v>
      </c>
      <c r="B5" s="7"/>
    </row>
    <row r="6" spans="1:9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</row>
    <row r="7" spans="1:9">
      <c r="A7" s="4" t="s">
        <v>11</v>
      </c>
      <c r="B7" s="5">
        <f>"1/1"</f>
        <v>0</v>
      </c>
      <c r="C7" s="8"/>
      <c r="D7" s="9">
        <f>((C7)*(H7)*(I7))/(G7*1)</f>
        <v>0</v>
      </c>
      <c r="E7" s="9">
        <f>D7/10000</f>
        <v>0</v>
      </c>
      <c r="G7" s="10">
        <f>digestion_page!B10</f>
        <v>0</v>
      </c>
      <c r="H7" s="10">
        <f>digestion_page!C10</f>
        <v>0</v>
      </c>
      <c r="I7" s="10">
        <f>(LEFT(B7,FIND("/",B7)-1)/RIGHT(B7,LEN(B7)-FIND("/", B7)))</f>
        <v>0</v>
      </c>
    </row>
    <row r="8" spans="1:9">
      <c r="A8" s="4" t="s">
        <v>12</v>
      </c>
      <c r="B8" s="5">
        <f>"1/1"</f>
        <v>0</v>
      </c>
      <c r="C8" s="8"/>
      <c r="D8" s="9">
        <f>((C8)*(H8)*(I8))/(G8*1)</f>
        <v>0</v>
      </c>
      <c r="E8" s="9">
        <f>D8/10000</f>
        <v>0</v>
      </c>
      <c r="G8" s="10">
        <f>digestion_page!B11</f>
        <v>0</v>
      </c>
      <c r="H8" s="10">
        <f>digestion_page!C11</f>
        <v>0</v>
      </c>
      <c r="I8" s="10">
        <f>(LEFT(B8,FIND("/",B8)-1)/RIGHT(B8,LEN(B8)-FIND("/", B8)))</f>
        <v>0</v>
      </c>
    </row>
    <row r="10" spans="1:9">
      <c r="A10" s="11" t="s">
        <v>22</v>
      </c>
      <c r="B10" s="11"/>
      <c r="C10" s="12">
        <f>AVERAGE(D7:D8)</f>
        <v>0</v>
      </c>
    </row>
    <row r="11" spans="1:9">
      <c r="A11" s="11" t="s">
        <v>22</v>
      </c>
      <c r="B11" s="11"/>
      <c r="C11" s="13">
        <f>AVERAGE(E7:E8)</f>
        <v>0</v>
      </c>
    </row>
    <row r="12" spans="1:9">
      <c r="A12" s="11" t="s">
        <v>23</v>
      </c>
      <c r="B12" s="11"/>
      <c r="C12" s="7"/>
    </row>
    <row r="13" spans="1:9">
      <c r="A13" s="11" t="s">
        <v>24</v>
      </c>
      <c r="B13" s="11"/>
      <c r="C13" s="13">
        <f>AVERAGE(E7:E8)*(C12)</f>
        <v>0</v>
      </c>
    </row>
    <row r="14" spans="1:9">
      <c r="A14" s="11" t="s">
        <v>25</v>
      </c>
      <c r="B14" s="11"/>
      <c r="C14" s="14"/>
      <c r="D14" s="14"/>
      <c r="E14" s="14"/>
      <c r="F14" s="14"/>
    </row>
    <row r="16" spans="1:9">
      <c r="A16" s="7" t="s">
        <v>26</v>
      </c>
      <c r="B16" s="7"/>
    </row>
    <row r="17" spans="1:9">
      <c r="A17" s="4" t="s">
        <v>17</v>
      </c>
      <c r="B17" s="4" t="s">
        <v>18</v>
      </c>
      <c r="C17" s="4" t="s">
        <v>19</v>
      </c>
      <c r="D17" s="4" t="s">
        <v>27</v>
      </c>
      <c r="E17" s="4" t="s">
        <v>28</v>
      </c>
    </row>
    <row r="18" spans="1:9">
      <c r="A18" s="4" t="s">
        <v>11</v>
      </c>
      <c r="B18" s="5">
        <f>"1/1"</f>
        <v>0</v>
      </c>
      <c r="C18" s="8"/>
      <c r="D18" s="9">
        <f>((C18)*(H18)*(I18))/(G18*1)</f>
        <v>0</v>
      </c>
      <c r="E18" s="9">
        <f>D18/10000</f>
        <v>0</v>
      </c>
      <c r="G18" s="10">
        <f>digestion_page!B21</f>
        <v>0</v>
      </c>
      <c r="H18" s="10">
        <f>digestion_page!C21</f>
        <v>0</v>
      </c>
      <c r="I18" s="10">
        <f>(LEFT(B18,FIND("/",B18)-1)/RIGHT(B18,LEN(B18)-FIND("/", B18)))</f>
        <v>0</v>
      </c>
    </row>
    <row r="19" spans="1:9">
      <c r="A19" s="4" t="s">
        <v>12</v>
      </c>
      <c r="B19" s="5">
        <f>"1/1"</f>
        <v>0</v>
      </c>
      <c r="C19" s="8"/>
      <c r="D19" s="9">
        <f>((C19)*(H19)*(I19))/(G19*1)</f>
        <v>0</v>
      </c>
      <c r="E19" s="9">
        <f>D19/10000</f>
        <v>0</v>
      </c>
      <c r="G19" s="10">
        <f>digestion_page!B22</f>
        <v>0</v>
      </c>
      <c r="H19" s="10">
        <f>digestion_page!C22</f>
        <v>0</v>
      </c>
      <c r="I19" s="10">
        <f>(LEFT(B19,FIND("/",B19)-1)/RIGHT(B19,LEN(B19)-FIND("/", B19)))</f>
        <v>0</v>
      </c>
    </row>
    <row r="21" spans="1:9">
      <c r="A21" s="11" t="s">
        <v>29</v>
      </c>
      <c r="B21" s="11"/>
      <c r="C21" s="12">
        <f>AVERAGE(D18:D19)</f>
        <v>0</v>
      </c>
    </row>
    <row r="22" spans="1:9">
      <c r="A22" s="11" t="s">
        <v>29</v>
      </c>
      <c r="B22" s="11"/>
      <c r="C22" s="13">
        <f>AVERAGE(E18:E19)</f>
        <v>0</v>
      </c>
    </row>
    <row r="23" spans="1:9">
      <c r="A23" s="11" t="s">
        <v>30</v>
      </c>
      <c r="B23" s="11"/>
      <c r="C23" s="7"/>
    </row>
    <row r="24" spans="1:9">
      <c r="A24" s="11" t="s">
        <v>31</v>
      </c>
      <c r="B24" s="11"/>
      <c r="C24" s="13">
        <f>AVERAGE(E18:E19)*(C23)</f>
        <v>0</v>
      </c>
    </row>
    <row r="25" spans="1:9">
      <c r="A25" s="11" t="s">
        <v>32</v>
      </c>
      <c r="B25" s="11"/>
      <c r="C25" s="14"/>
      <c r="D25" s="14"/>
      <c r="E25" s="14"/>
      <c r="F25" s="14"/>
    </row>
    <row r="27" spans="1:9">
      <c r="B27" s="11" t="s">
        <v>33</v>
      </c>
      <c r="C27" s="15"/>
      <c r="D27" s="15"/>
      <c r="E27" s="15"/>
      <c r="F27" s="15"/>
    </row>
    <row r="28" spans="1:9">
      <c r="C28" s="15"/>
      <c r="D28" s="15"/>
      <c r="E28" s="15"/>
      <c r="F28" s="15"/>
    </row>
    <row r="29" spans="1:9">
      <c r="C29" s="15"/>
      <c r="D29" s="15"/>
      <c r="E29" s="15"/>
      <c r="F29" s="15"/>
    </row>
  </sheetData>
  <mergeCells count="15">
    <mergeCell ref="A5:B5"/>
    <mergeCell ref="A10:B10"/>
    <mergeCell ref="A11:B11"/>
    <mergeCell ref="A12:B12"/>
    <mergeCell ref="A13:B13"/>
    <mergeCell ref="A14:B14"/>
    <mergeCell ref="C14:F14"/>
    <mergeCell ref="A16:B16"/>
    <mergeCell ref="A21:B21"/>
    <mergeCell ref="A22:B22"/>
    <mergeCell ref="A23:B23"/>
    <mergeCell ref="A24:B24"/>
    <mergeCell ref="A25:B25"/>
    <mergeCell ref="C25:F25"/>
    <mergeCell ref="C27:F29"/>
  </mergeCells>
  <conditionalFormatting sqref="C14:F14">
    <cfRule type="containsBlanks" dxfId="0" priority="1">
      <formula>LEN(TRIM(C14))=0</formula>
    </cfRule>
  </conditionalFormatting>
  <conditionalFormatting sqref="C25:F25">
    <cfRule type="containsBlanks" dxfId="0" priority="2">
      <formula>LEN(TRIM(C25))=0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1" width="22.85546875" bestFit="1" customWidth="1"/>
    <col min="2" max="2" width="10.7109375" bestFit="1" customWidth="1"/>
    <col min="3" max="3" width="12.7109375" customWidth="1"/>
    <col min="4" max="4" width="14" bestFit="1" customWidth="1"/>
    <col min="5" max="5" width="10.5703125" bestFit="1" customWidth="1"/>
  </cols>
  <sheetData>
    <row r="1" spans="1:9">
      <c r="A1" s="1" t="s">
        <v>0</v>
      </c>
      <c r="B1" s="2">
        <v>46154</v>
      </c>
    </row>
    <row r="2" spans="1:9">
      <c r="A2" s="1" t="s">
        <v>1</v>
      </c>
      <c r="B2" t="s">
        <v>2</v>
      </c>
    </row>
    <row r="5" spans="1:9">
      <c r="A5" s="7" t="s">
        <v>16</v>
      </c>
      <c r="B5" s="7"/>
    </row>
    <row r="6" spans="1:9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</row>
    <row r="7" spans="1:9">
      <c r="A7" s="4" t="s">
        <v>13</v>
      </c>
      <c r="B7" s="5">
        <f>"1/1"</f>
        <v>0</v>
      </c>
      <c r="C7" s="8"/>
      <c r="D7" s="9">
        <f>((C7)*(H7)*(I7))/(G7*1)</f>
        <v>0</v>
      </c>
      <c r="E7" s="9">
        <f>D7/10000</f>
        <v>0</v>
      </c>
      <c r="G7" s="10">
        <f>digestion_page!B12</f>
        <v>0</v>
      </c>
      <c r="H7" s="10">
        <f>digestion_page!C12</f>
        <v>0</v>
      </c>
      <c r="I7" s="10">
        <f>(LEFT(B7,FIND("/",B7)-1)/RIGHT(B7,LEN(B7)-FIND("/", B7)))</f>
        <v>0</v>
      </c>
    </row>
    <row r="8" spans="1:9">
      <c r="A8" s="4" t="s">
        <v>14</v>
      </c>
      <c r="B8" s="5">
        <f>"1/1"</f>
        <v>0</v>
      </c>
      <c r="C8" s="8"/>
      <c r="D8" s="9">
        <f>((C8)*(H8)*(I8))/(G8*1)</f>
        <v>0</v>
      </c>
      <c r="E8" s="9">
        <f>D8/10000</f>
        <v>0</v>
      </c>
      <c r="G8" s="10">
        <f>digestion_page!B13</f>
        <v>0</v>
      </c>
      <c r="H8" s="10">
        <f>digestion_page!C13</f>
        <v>0</v>
      </c>
      <c r="I8" s="10">
        <f>(LEFT(B8,FIND("/",B8)-1)/RIGHT(B8,LEN(B8)-FIND("/", B8)))</f>
        <v>0</v>
      </c>
    </row>
    <row r="10" spans="1:9">
      <c r="A10" s="11" t="s">
        <v>22</v>
      </c>
      <c r="B10" s="11"/>
      <c r="C10" s="12">
        <f>AVERAGE(D7:D8)</f>
        <v>0</v>
      </c>
    </row>
    <row r="11" spans="1:9">
      <c r="A11" s="11" t="s">
        <v>22</v>
      </c>
      <c r="B11" s="11"/>
      <c r="C11" s="13">
        <f>AVERAGE(E7:E8)</f>
        <v>0</v>
      </c>
    </row>
    <row r="12" spans="1:9">
      <c r="A12" s="11" t="s">
        <v>23</v>
      </c>
      <c r="B12" s="11"/>
      <c r="C12" s="7"/>
    </row>
    <row r="13" spans="1:9">
      <c r="A13" s="11" t="s">
        <v>24</v>
      </c>
      <c r="B13" s="11"/>
      <c r="C13" s="13">
        <f>AVERAGE(E7:E8)*(C12)</f>
        <v>0</v>
      </c>
    </row>
    <row r="14" spans="1:9">
      <c r="A14" s="11" t="s">
        <v>25</v>
      </c>
      <c r="B14" s="11"/>
      <c r="C14" s="14"/>
      <c r="D14" s="14"/>
      <c r="E14" s="14"/>
      <c r="F14" s="14"/>
    </row>
    <row r="16" spans="1:9">
      <c r="A16" s="7" t="s">
        <v>26</v>
      </c>
      <c r="B16" s="7"/>
    </row>
    <row r="17" spans="1:9">
      <c r="A17" s="4" t="s">
        <v>17</v>
      </c>
      <c r="B17" s="4" t="s">
        <v>18</v>
      </c>
      <c r="C17" s="4" t="s">
        <v>19</v>
      </c>
      <c r="D17" s="4" t="s">
        <v>27</v>
      </c>
      <c r="E17" s="4" t="s">
        <v>28</v>
      </c>
    </row>
    <row r="18" spans="1:9">
      <c r="A18" s="4" t="s">
        <v>13</v>
      </c>
      <c r="B18" s="5">
        <f>"1/1"</f>
        <v>0</v>
      </c>
      <c r="C18" s="8"/>
      <c r="D18" s="9">
        <f>((C18)*(H18)*(I18))/(G18*1)</f>
        <v>0</v>
      </c>
      <c r="E18" s="9">
        <f>D18/10000</f>
        <v>0</v>
      </c>
      <c r="G18" s="10">
        <f>digestion_page!B23</f>
        <v>0</v>
      </c>
      <c r="H18" s="10">
        <f>digestion_page!C23</f>
        <v>0</v>
      </c>
      <c r="I18" s="10">
        <f>(LEFT(B18,FIND("/",B18)-1)/RIGHT(B18,LEN(B18)-FIND("/", B18)))</f>
        <v>0</v>
      </c>
    </row>
    <row r="19" spans="1:9">
      <c r="A19" s="4" t="s">
        <v>14</v>
      </c>
      <c r="B19" s="5">
        <f>"1/1"</f>
        <v>0</v>
      </c>
      <c r="C19" s="8"/>
      <c r="D19" s="9">
        <f>((C19)*(H19)*(I19))/(G19*1)</f>
        <v>0</v>
      </c>
      <c r="E19" s="9">
        <f>D19/10000</f>
        <v>0</v>
      </c>
      <c r="G19" s="10">
        <f>digestion_page!B24</f>
        <v>0</v>
      </c>
      <c r="H19" s="10">
        <f>digestion_page!C24</f>
        <v>0</v>
      </c>
      <c r="I19" s="10">
        <f>(LEFT(B19,FIND("/",B19)-1)/RIGHT(B19,LEN(B19)-FIND("/", B19)))</f>
        <v>0</v>
      </c>
    </row>
    <row r="21" spans="1:9">
      <c r="A21" s="11" t="s">
        <v>29</v>
      </c>
      <c r="B21" s="11"/>
      <c r="C21" s="12">
        <f>AVERAGE(D18:D19)</f>
        <v>0</v>
      </c>
    </row>
    <row r="22" spans="1:9">
      <c r="A22" s="11" t="s">
        <v>29</v>
      </c>
      <c r="B22" s="11"/>
      <c r="C22" s="13">
        <f>AVERAGE(E18:E19)</f>
        <v>0</v>
      </c>
    </row>
    <row r="23" spans="1:9">
      <c r="A23" s="11" t="s">
        <v>30</v>
      </c>
      <c r="B23" s="11"/>
      <c r="C23" s="7"/>
    </row>
    <row r="24" spans="1:9">
      <c r="A24" s="11" t="s">
        <v>31</v>
      </c>
      <c r="B24" s="11"/>
      <c r="C24" s="13">
        <f>AVERAGE(E18:E19)*(C23)</f>
        <v>0</v>
      </c>
    </row>
    <row r="25" spans="1:9">
      <c r="A25" s="11" t="s">
        <v>32</v>
      </c>
      <c r="B25" s="11"/>
      <c r="C25" s="14"/>
      <c r="D25" s="14"/>
      <c r="E25" s="14"/>
      <c r="F25" s="14"/>
    </row>
    <row r="27" spans="1:9">
      <c r="B27" s="11" t="s">
        <v>33</v>
      </c>
      <c r="C27" s="15"/>
      <c r="D27" s="15"/>
      <c r="E27" s="15"/>
      <c r="F27" s="15"/>
    </row>
    <row r="28" spans="1:9">
      <c r="C28" s="15"/>
      <c r="D28" s="15"/>
      <c r="E28" s="15"/>
      <c r="F28" s="15"/>
    </row>
    <row r="29" spans="1:9">
      <c r="C29" s="15"/>
      <c r="D29" s="15"/>
      <c r="E29" s="15"/>
      <c r="F29" s="15"/>
    </row>
  </sheetData>
  <mergeCells count="15">
    <mergeCell ref="A5:B5"/>
    <mergeCell ref="A10:B10"/>
    <mergeCell ref="A11:B11"/>
    <mergeCell ref="A12:B12"/>
    <mergeCell ref="A13:B13"/>
    <mergeCell ref="A14:B14"/>
    <mergeCell ref="C14:F14"/>
    <mergeCell ref="A16:B16"/>
    <mergeCell ref="A21:B21"/>
    <mergeCell ref="A22:B22"/>
    <mergeCell ref="A23:B23"/>
    <mergeCell ref="A24:B24"/>
    <mergeCell ref="A25:B25"/>
    <mergeCell ref="C25:F25"/>
    <mergeCell ref="C27:F29"/>
  </mergeCells>
  <conditionalFormatting sqref="C14:F14">
    <cfRule type="containsBlanks" dxfId="0" priority="1">
      <formula>LEN(TRIM(C14))=0</formula>
    </cfRule>
  </conditionalFormatting>
  <conditionalFormatting sqref="C25:F25">
    <cfRule type="containsBlanks" dxfId="0" priority="2">
      <formula>LEN(TRIM(C25))=0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46.140625" bestFit="1" customWidth="1"/>
  </cols>
  <sheetData>
    <row r="1" spans="1:1">
      <c r="A1" s="16" t="s">
        <v>34</v>
      </c>
    </row>
    <row r="2" spans="1:1">
      <c r="A2" s="16" t="s">
        <v>35</v>
      </c>
    </row>
    <row r="3" spans="1:1">
      <c r="A3" s="16" t="s">
        <v>36</v>
      </c>
    </row>
    <row r="5" spans="1:1">
      <c r="A5" s="16" t="s">
        <v>37</v>
      </c>
    </row>
    <row r="7" spans="1:1">
      <c r="A7" s="16" t="s">
        <v>38</v>
      </c>
    </row>
    <row r="9" spans="1:1">
      <c r="A9" s="16" t="s">
        <v>39</v>
      </c>
    </row>
    <row r="11" spans="1:1">
      <c r="A11" s="16" t="s">
        <v>40</v>
      </c>
    </row>
    <row r="13" spans="1:1">
      <c r="A13" s="16" t="s">
        <v>41</v>
      </c>
    </row>
    <row r="15" spans="1:1">
      <c r="A15" s="16" t="s">
        <v>42</v>
      </c>
    </row>
    <row r="17" spans="1:1">
      <c r="A17" s="16" t="s">
        <v>43</v>
      </c>
    </row>
    <row r="19" spans="1:1">
      <c r="A19" s="16" t="s">
        <v>44</v>
      </c>
    </row>
    <row r="21" spans="1:1">
      <c r="A21" s="16" t="s">
        <v>45</v>
      </c>
    </row>
    <row r="23" spans="1:1">
      <c r="A23" s="1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digestion_page</vt:lpstr>
      <vt:lpstr>200126511</vt:lpstr>
      <vt:lpstr>200126512</vt:lpstr>
      <vt:lpstr>formula_page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2026-05-12T19:48:40Z</dcterms:created>
  <dcterms:modified xsi:type="dcterms:W3CDTF">2026-05-12T19:48:40Z</dcterms:modified>
</cp:coreProperties>
</file>