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dist\"/>
    </mc:Choice>
  </mc:AlternateContent>
  <xr:revisionPtr revIDLastSave="0" documentId="13_ncr:1_{AE1AA9F0-A71F-46D0-BD8E-69902C8CDBAD}" xr6:coauthVersionLast="47" xr6:coauthVersionMax="47" xr10:uidLastSave="{00000000-0000-0000-0000-000000000000}"/>
  <bookViews>
    <workbookView xWindow="28680" yWindow="-1830" windowWidth="29040" windowHeight="15720" activeTab="1" xr2:uid="{00000000-000D-0000-FFFF-FFFF00000000}"/>
  </bookViews>
  <sheets>
    <sheet name="digestion_page" sheetId="1" r:id="rId1"/>
    <sheet name="200127592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2" l="1"/>
  <c r="H23" i="2"/>
  <c r="G23" i="2"/>
  <c r="B23" i="2"/>
  <c r="H22" i="2"/>
  <c r="G22" i="2"/>
  <c r="B22" i="2"/>
  <c r="I22" i="2" s="1"/>
  <c r="H12" i="2"/>
  <c r="G12" i="2"/>
  <c r="B12" i="2"/>
  <c r="I12" i="2" s="1"/>
  <c r="H11" i="2"/>
  <c r="G11" i="2"/>
  <c r="B11" i="2"/>
  <c r="I11" i="2" s="1"/>
  <c r="E7" i="2"/>
  <c r="F7" i="2" s="1"/>
  <c r="D6" i="2"/>
  <c r="D12" i="2" l="1"/>
  <c r="E12" i="2" s="1"/>
  <c r="D22" i="2"/>
  <c r="D23" i="2"/>
  <c r="E23" i="2" s="1"/>
  <c r="D11" i="2"/>
  <c r="C14" i="2" l="1"/>
  <c r="E11" i="2"/>
  <c r="C25" i="2"/>
  <c r="E22" i="2"/>
  <c r="C17" i="2" l="1"/>
  <c r="C15" i="2"/>
  <c r="C28" i="2"/>
  <c r="C26" i="2"/>
</calcChain>
</file>

<file path=xl/sharedStrings.xml><?xml version="1.0" encoding="utf-8"?>
<sst xmlns="http://schemas.openxmlformats.org/spreadsheetml/2006/main" count="73" uniqueCount="51">
  <si>
    <t>Date:</t>
  </si>
  <si>
    <t>Request ID:</t>
  </si>
  <si>
    <t>100048435</t>
  </si>
  <si>
    <t>Hotplate</t>
  </si>
  <si>
    <t>Element(s)</t>
  </si>
  <si>
    <t>Al</t>
  </si>
  <si>
    <t>SOP#</t>
  </si>
  <si>
    <t>Cocktail</t>
  </si>
  <si>
    <t>sample(s)</t>
  </si>
  <si>
    <t>weight (g)</t>
  </si>
  <si>
    <t>volume (mL)</t>
  </si>
  <si>
    <t>200127592_1</t>
  </si>
  <si>
    <t>200127592_2</t>
  </si>
  <si>
    <t>Si</t>
  </si>
  <si>
    <t>LOI temp:</t>
  </si>
  <si>
    <t>sample</t>
  </si>
  <si>
    <t>crucible (g)</t>
  </si>
  <si>
    <t>crucible + sample (g)</t>
  </si>
  <si>
    <t>LOI (%)</t>
  </si>
  <si>
    <t>correction</t>
  </si>
  <si>
    <t>200127592</t>
  </si>
  <si>
    <t>Al ICP analysis</t>
  </si>
  <si>
    <t>Dilution</t>
  </si>
  <si>
    <t>conc. [mg/L]</t>
  </si>
  <si>
    <t>Al_ppm [dried]</t>
  </si>
  <si>
    <t>%Al [dried]</t>
  </si>
  <si>
    <t>al result:</t>
  </si>
  <si>
    <t>al oxide factor:</t>
  </si>
  <si>
    <t>al oxide result:</t>
  </si>
  <si>
    <t>al lot:</t>
  </si>
  <si>
    <t>Si ICP analysis</t>
  </si>
  <si>
    <t>Si_ppm [dried]</t>
  </si>
  <si>
    <t>%Si [dried]</t>
  </si>
  <si>
    <t>si result:</t>
  </si>
  <si>
    <t>si oxide factor:</t>
  </si>
  <si>
    <t>si oxide result:</t>
  </si>
  <si>
    <t>si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</si>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</sst>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0"/>
    <numFmt numFmtId="166" formatCode="0.00&quot; ppm&quot;"/>
    <numFmt numFmtId="167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right"/>
    </xf>
    <xf numFmtId="2" fontId="0" fillId="0" borderId="1" xfId="0" applyNumberFormat="1" applyBorder="1"/>
    <xf numFmtId="165" fontId="0" fillId="0" borderId="1" xfId="0" applyNumberFormat="1" applyBorder="1"/>
    <xf numFmtId="0" fontId="0" fillId="0" borderId="0" xfId="0" applyAlignment="1">
      <alignment horizontal="left"/>
    </xf>
    <xf numFmtId="0" fontId="2" fillId="0" borderId="0" xfId="0" applyFont="1"/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C23" sqref="C23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46140</v>
      </c>
    </row>
    <row r="2" spans="1:3" x14ac:dyDescent="0.25">
      <c r="A2" s="1" t="s">
        <v>1</v>
      </c>
      <c r="B2" t="s">
        <v>2</v>
      </c>
    </row>
    <row r="5" spans="1:3" x14ac:dyDescent="0.25">
      <c r="A5" s="13" t="s">
        <v>3</v>
      </c>
      <c r="B5" s="13"/>
      <c r="C5" s="13"/>
    </row>
    <row r="6" spans="1:3" x14ac:dyDescent="0.25">
      <c r="A6" s="3" t="s">
        <v>4</v>
      </c>
      <c r="B6" s="14" t="s">
        <v>5</v>
      </c>
      <c r="C6" s="14"/>
    </row>
    <row r="7" spans="1:3" x14ac:dyDescent="0.25">
      <c r="A7" s="3" t="s">
        <v>6</v>
      </c>
      <c r="B7" s="14"/>
      <c r="C7" s="14"/>
    </row>
    <row r="8" spans="1:3" x14ac:dyDescent="0.25">
      <c r="A8" s="3" t="s">
        <v>7</v>
      </c>
      <c r="B8" s="14"/>
      <c r="C8" s="14"/>
    </row>
    <row r="9" spans="1:3" x14ac:dyDescent="0.25">
      <c r="A9" s="3" t="s">
        <v>8</v>
      </c>
      <c r="B9" s="3" t="s">
        <v>9</v>
      </c>
      <c r="C9" s="3" t="s">
        <v>10</v>
      </c>
    </row>
    <row r="10" spans="1:3" x14ac:dyDescent="0.25">
      <c r="A10" s="3" t="s">
        <v>11</v>
      </c>
      <c r="B10" s="4">
        <v>0.109</v>
      </c>
      <c r="C10" s="4">
        <v>250</v>
      </c>
    </row>
    <row r="11" spans="1:3" x14ac:dyDescent="0.25">
      <c r="A11" s="3" t="s">
        <v>12</v>
      </c>
      <c r="B11" s="4">
        <v>0.10680000000000001</v>
      </c>
      <c r="C11" s="4">
        <v>250</v>
      </c>
    </row>
    <row r="14" spans="1:3" x14ac:dyDescent="0.25">
      <c r="A14" s="13" t="s">
        <v>3</v>
      </c>
      <c r="B14" s="13"/>
      <c r="C14" s="13"/>
    </row>
    <row r="15" spans="1:3" x14ac:dyDescent="0.25">
      <c r="A15" s="3" t="s">
        <v>4</v>
      </c>
      <c r="B15" s="14" t="s">
        <v>13</v>
      </c>
      <c r="C15" s="14"/>
    </row>
    <row r="16" spans="1:3" x14ac:dyDescent="0.25">
      <c r="A16" s="3" t="s">
        <v>6</v>
      </c>
      <c r="B16" s="14"/>
      <c r="C16" s="14"/>
    </row>
    <row r="17" spans="1:3" x14ac:dyDescent="0.25">
      <c r="A17" s="3" t="s">
        <v>7</v>
      </c>
      <c r="B17" s="14"/>
      <c r="C17" s="14"/>
    </row>
    <row r="18" spans="1:3" x14ac:dyDescent="0.25">
      <c r="A18" s="3" t="s">
        <v>8</v>
      </c>
      <c r="B18" s="3" t="s">
        <v>9</v>
      </c>
      <c r="C18" s="3" t="s">
        <v>10</v>
      </c>
    </row>
    <row r="19" spans="1:3" x14ac:dyDescent="0.25">
      <c r="A19" s="3" t="s">
        <v>11</v>
      </c>
      <c r="B19" s="4">
        <v>0.1066</v>
      </c>
      <c r="C19" s="4">
        <v>250</v>
      </c>
    </row>
    <row r="20" spans="1:3" x14ac:dyDescent="0.25">
      <c r="A20" s="3" t="s">
        <v>12</v>
      </c>
      <c r="B20" s="4">
        <v>0.10630000000000001</v>
      </c>
      <c r="C20" s="4">
        <v>250</v>
      </c>
    </row>
  </sheetData>
  <mergeCells count="8">
    <mergeCell ref="B15:C15"/>
    <mergeCell ref="B16:C16"/>
    <mergeCell ref="B17:C17"/>
    <mergeCell ref="A5:C5"/>
    <mergeCell ref="B6:C6"/>
    <mergeCell ref="B7:C7"/>
    <mergeCell ref="B8:C8"/>
    <mergeCell ref="A14:C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tabSelected="1" workbookViewId="0">
      <selection activeCell="C8" sqref="C8"/>
    </sheetView>
  </sheetViews>
  <sheetFormatPr defaultRowHeight="15" x14ac:dyDescent="0.25"/>
  <cols>
    <col min="1" max="1" width="14.140625" bestFit="1" customWidth="1"/>
    <col min="2" max="2" width="10.85546875" bestFit="1" customWidth="1"/>
    <col min="3" max="3" width="19.140625" bestFit="1" customWidth="1"/>
    <col min="4" max="4" width="14.42578125" bestFit="1" customWidth="1"/>
    <col min="5" max="5" width="11" bestFit="1" customWidth="1"/>
    <col min="6" max="6" width="10" bestFit="1" customWidth="1"/>
  </cols>
  <sheetData>
    <row r="1" spans="1:9" x14ac:dyDescent="0.25">
      <c r="A1" s="1" t="s">
        <v>0</v>
      </c>
      <c r="B1" s="2">
        <v>46140</v>
      </c>
    </row>
    <row r="2" spans="1:9" x14ac:dyDescent="0.25">
      <c r="A2" s="1" t="s">
        <v>1</v>
      </c>
      <c r="B2" t="s">
        <v>2</v>
      </c>
    </row>
    <row r="5" spans="1:9" x14ac:dyDescent="0.25">
      <c r="A5" s="5" t="s">
        <v>14</v>
      </c>
    </row>
    <row r="6" spans="1:9" x14ac:dyDescent="0.25">
      <c r="A6" s="3" t="s">
        <v>15</v>
      </c>
      <c r="B6" s="3" t="s">
        <v>16</v>
      </c>
      <c r="C6" s="3" t="s">
        <v>17</v>
      </c>
      <c r="D6" s="3" t="str">
        <f>"after "&amp;B5&amp;" °C"</f>
        <v>after  °C</v>
      </c>
      <c r="E6" s="3" t="s">
        <v>18</v>
      </c>
      <c r="F6" s="3" t="s">
        <v>19</v>
      </c>
    </row>
    <row r="7" spans="1:9" x14ac:dyDescent="0.25">
      <c r="A7" s="3" t="s">
        <v>20</v>
      </c>
      <c r="B7" s="4">
        <v>27.978400000000001</v>
      </c>
      <c r="C7" s="4">
        <v>29.979199999999999</v>
      </c>
      <c r="D7" s="4">
        <v>29.833500000000001</v>
      </c>
      <c r="E7" s="6">
        <f>(((C7-B7)-(D7-B7))/(C7-B7))*100</f>
        <v>7.2820871651338503</v>
      </c>
      <c r="F7" s="7">
        <f>1-(E7/100)</f>
        <v>0.92717912834866145</v>
      </c>
    </row>
    <row r="9" spans="1:9" x14ac:dyDescent="0.25">
      <c r="A9" s="15" t="s">
        <v>21</v>
      </c>
      <c r="B9" s="15"/>
    </row>
    <row r="10" spans="1:9" x14ac:dyDescent="0.25">
      <c r="A10" s="3" t="s">
        <v>15</v>
      </c>
      <c r="B10" s="3" t="s">
        <v>22</v>
      </c>
      <c r="C10" s="3" t="s">
        <v>23</v>
      </c>
      <c r="D10" s="3" t="s">
        <v>24</v>
      </c>
      <c r="E10" s="3" t="s">
        <v>25</v>
      </c>
    </row>
    <row r="11" spans="1:9" x14ac:dyDescent="0.25">
      <c r="A11" s="3" t="s">
        <v>11</v>
      </c>
      <c r="B11" s="4" t="str">
        <f>"1/1"</f>
        <v>1/1</v>
      </c>
      <c r="C11" s="4"/>
      <c r="D11" s="6">
        <f>((C11)*(H11)*(I11))/(G11*$F$7)</f>
        <v>0</v>
      </c>
      <c r="E11" s="6">
        <f>D11/10000</f>
        <v>0</v>
      </c>
      <c r="G11" s="9">
        <f>digestion_page!B10</f>
        <v>0.109</v>
      </c>
      <c r="H11" s="9">
        <f>digestion_page!C10</f>
        <v>250</v>
      </c>
      <c r="I11" s="9">
        <f>(LEFT(B11,FIND("/",B11)-1)/RIGHT(B11,LEN(B11)-FIND("/", B11)))</f>
        <v>1</v>
      </c>
    </row>
    <row r="12" spans="1:9" x14ac:dyDescent="0.25">
      <c r="A12" s="3" t="s">
        <v>12</v>
      </c>
      <c r="B12" s="4" t="str">
        <f>"1/1"</f>
        <v>1/1</v>
      </c>
      <c r="C12" s="4"/>
      <c r="D12" s="6">
        <f>((C12)*(H12)*(I12))/(G12*$F$7)</f>
        <v>0</v>
      </c>
      <c r="E12" s="6">
        <f>D12/10000</f>
        <v>0</v>
      </c>
      <c r="G12" s="9">
        <f>digestion_page!B11</f>
        <v>0.10680000000000001</v>
      </c>
      <c r="H12" s="9">
        <f>digestion_page!C11</f>
        <v>250</v>
      </c>
      <c r="I12" s="9">
        <f>(LEFT(B12,FIND("/",B12)-1)/RIGHT(B12,LEN(B12)-FIND("/", B12)))</f>
        <v>1</v>
      </c>
    </row>
    <row r="14" spans="1:9" x14ac:dyDescent="0.25">
      <c r="A14" s="16" t="s">
        <v>26</v>
      </c>
      <c r="B14" s="16"/>
      <c r="C14" s="10">
        <f>AVERAGE(D11:D12)</f>
        <v>0</v>
      </c>
    </row>
    <row r="15" spans="1:9" x14ac:dyDescent="0.25">
      <c r="A15" s="16" t="s">
        <v>26</v>
      </c>
      <c r="B15" s="16"/>
      <c r="C15" s="11">
        <f>AVERAGE(E11:E12)</f>
        <v>0</v>
      </c>
    </row>
    <row r="16" spans="1:9" x14ac:dyDescent="0.25">
      <c r="A16" s="16" t="s">
        <v>27</v>
      </c>
      <c r="B16" s="16"/>
      <c r="C16" s="8"/>
    </row>
    <row r="17" spans="1:9" x14ac:dyDescent="0.25">
      <c r="A17" s="16" t="s">
        <v>28</v>
      </c>
      <c r="B17" s="16"/>
      <c r="C17" s="11">
        <f>AVERAGE(E11:E12)*(C16)</f>
        <v>0</v>
      </c>
    </row>
    <row r="18" spans="1:9" x14ac:dyDescent="0.25">
      <c r="A18" s="16" t="s">
        <v>29</v>
      </c>
      <c r="B18" s="16"/>
      <c r="C18" s="17"/>
      <c r="D18" s="17"/>
      <c r="E18" s="17"/>
      <c r="F18" s="17"/>
    </row>
    <row r="20" spans="1:9" x14ac:dyDescent="0.25">
      <c r="A20" s="15" t="s">
        <v>30</v>
      </c>
      <c r="B20" s="15"/>
    </row>
    <row r="21" spans="1:9" x14ac:dyDescent="0.25">
      <c r="A21" s="3" t="s">
        <v>15</v>
      </c>
      <c r="B21" s="3" t="s">
        <v>22</v>
      </c>
      <c r="C21" s="3" t="s">
        <v>23</v>
      </c>
      <c r="D21" s="3" t="s">
        <v>31</v>
      </c>
      <c r="E21" s="3" t="s">
        <v>32</v>
      </c>
    </row>
    <row r="22" spans="1:9" x14ac:dyDescent="0.25">
      <c r="A22" s="3" t="s">
        <v>11</v>
      </c>
      <c r="B22" s="4" t="str">
        <f>"1/1"</f>
        <v>1/1</v>
      </c>
      <c r="C22" s="4"/>
      <c r="D22" s="6">
        <f>((C22)*(H22)*(I22))/(G22*$F$7)</f>
        <v>0</v>
      </c>
      <c r="E22" s="6">
        <f>D22/10000</f>
        <v>0</v>
      </c>
      <c r="G22" s="9">
        <f>digestion_page!B19</f>
        <v>0.1066</v>
      </c>
      <c r="H22" s="9">
        <f>digestion_page!C19</f>
        <v>250</v>
      </c>
      <c r="I22" s="9">
        <f>(LEFT(B22,FIND("/",B22)-1)/RIGHT(B22,LEN(B22)-FIND("/", B22)))</f>
        <v>1</v>
      </c>
    </row>
    <row r="23" spans="1:9" x14ac:dyDescent="0.25">
      <c r="A23" s="3" t="s">
        <v>12</v>
      </c>
      <c r="B23" s="4" t="str">
        <f>"1/1"</f>
        <v>1/1</v>
      </c>
      <c r="C23" s="4"/>
      <c r="D23" s="6">
        <f>((C23)*(H23)*(I23))/(G23*$F$7)</f>
        <v>0</v>
      </c>
      <c r="E23" s="6">
        <f>D23/10000</f>
        <v>0</v>
      </c>
      <c r="G23" s="9">
        <f>digestion_page!B20</f>
        <v>0.10630000000000001</v>
      </c>
      <c r="H23" s="9">
        <f>digestion_page!C20</f>
        <v>250</v>
      </c>
      <c r="I23" s="9">
        <f>(LEFT(B23,FIND("/",B23)-1)/RIGHT(B23,LEN(B23)-FIND("/", B23)))</f>
        <v>1</v>
      </c>
    </row>
    <row r="25" spans="1:9" x14ac:dyDescent="0.25">
      <c r="A25" s="16" t="s">
        <v>33</v>
      </c>
      <c r="B25" s="16"/>
      <c r="C25" s="10">
        <f>AVERAGE(D22:D23)</f>
        <v>0</v>
      </c>
    </row>
    <row r="26" spans="1:9" x14ac:dyDescent="0.25">
      <c r="A26" s="16" t="s">
        <v>33</v>
      </c>
      <c r="B26" s="16"/>
      <c r="C26" s="11">
        <f>AVERAGE(E22:E23)</f>
        <v>0</v>
      </c>
    </row>
    <row r="27" spans="1:9" x14ac:dyDescent="0.25">
      <c r="A27" s="16" t="s">
        <v>34</v>
      </c>
      <c r="B27" s="16"/>
      <c r="C27" s="8"/>
    </row>
    <row r="28" spans="1:9" x14ac:dyDescent="0.25">
      <c r="A28" s="16" t="s">
        <v>35</v>
      </c>
      <c r="B28" s="16"/>
      <c r="C28" s="11">
        <f>AVERAGE(E22:E23)*(C27)</f>
        <v>0</v>
      </c>
    </row>
    <row r="29" spans="1:9" x14ac:dyDescent="0.25">
      <c r="A29" s="16" t="s">
        <v>36</v>
      </c>
      <c r="B29" s="16"/>
      <c r="C29" s="17"/>
      <c r="D29" s="17"/>
      <c r="E29" s="17"/>
      <c r="F29" s="17"/>
    </row>
    <row r="31" spans="1:9" x14ac:dyDescent="0.25">
      <c r="B31" s="5" t="s">
        <v>37</v>
      </c>
      <c r="C31" s="18"/>
      <c r="D31" s="18"/>
      <c r="E31" s="18"/>
      <c r="F31" s="18"/>
    </row>
    <row r="32" spans="1:9" x14ac:dyDescent="0.25">
      <c r="C32" s="18"/>
      <c r="D32" s="18"/>
      <c r="E32" s="18"/>
      <c r="F32" s="18"/>
    </row>
    <row r="33" spans="3:6" x14ac:dyDescent="0.25">
      <c r="C33" s="18"/>
      <c r="D33" s="18"/>
      <c r="E33" s="18"/>
      <c r="F33" s="18"/>
    </row>
  </sheetData>
  <mergeCells count="15">
    <mergeCell ref="A27:B27"/>
    <mergeCell ref="A28:B28"/>
    <mergeCell ref="A29:B29"/>
    <mergeCell ref="C29:F29"/>
    <mergeCell ref="C31:F33"/>
    <mergeCell ref="A18:B18"/>
    <mergeCell ref="C18:F18"/>
    <mergeCell ref="A20:B20"/>
    <mergeCell ref="A25:B25"/>
    <mergeCell ref="A26:B26"/>
    <mergeCell ref="A9:B9"/>
    <mergeCell ref="A14:B14"/>
    <mergeCell ref="A15:B15"/>
    <mergeCell ref="A16:B16"/>
    <mergeCell ref="A17:B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2" t="s">
        <v>38</v>
      </c>
    </row>
    <row r="2" spans="1:1" x14ac:dyDescent="0.25">
      <c r="A2" s="12" t="s">
        <v>39</v>
      </c>
    </row>
    <row r="3" spans="1:1" x14ac:dyDescent="0.25">
      <c r="A3" s="12" t="s">
        <v>40</v>
      </c>
    </row>
    <row r="5" spans="1:1" x14ac:dyDescent="0.25">
      <c r="A5" s="12" t="s">
        <v>41</v>
      </c>
    </row>
    <row r="7" spans="1:1" x14ac:dyDescent="0.25">
      <c r="A7" s="12" t="s">
        <v>42</v>
      </c>
    </row>
    <row r="9" spans="1:1" x14ac:dyDescent="0.25">
      <c r="A9" s="12" t="s">
        <v>43</v>
      </c>
    </row>
    <row r="11" spans="1:1" x14ac:dyDescent="0.25">
      <c r="A11" s="12" t="s">
        <v>44</v>
      </c>
    </row>
    <row r="13" spans="1:1" x14ac:dyDescent="0.25">
      <c r="A13" s="12" t="s">
        <v>45</v>
      </c>
    </row>
    <row r="15" spans="1:1" x14ac:dyDescent="0.25">
      <c r="A15" s="12" t="s">
        <v>46</v>
      </c>
    </row>
    <row r="17" spans="1:1" x14ac:dyDescent="0.25">
      <c r="A17" s="12" t="s">
        <v>47</v>
      </c>
    </row>
    <row r="19" spans="1:1" x14ac:dyDescent="0.25">
      <c r="A19" s="12" t="s">
        <v>48</v>
      </c>
    </row>
    <row r="21" spans="1:1" x14ac:dyDescent="0.25">
      <c r="A21" s="12" t="s">
        <v>49</v>
      </c>
    </row>
    <row r="23" spans="1:1" x14ac:dyDescent="0.25">
      <c r="A23" s="12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200127592</vt:lpstr>
      <vt:lpstr>formula_page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2026-04-28T20:20:24Z</dcterms:created>
  <dcterms:modified xsi:type="dcterms:W3CDTF">2026-04-28T20:21:57Z</dcterms:modified>
</cp:coreProperties>
</file>