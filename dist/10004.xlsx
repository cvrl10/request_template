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" sheetId="2" r:id="rId2"/>
    <sheet name="formula_page" sheetId="3" r:id="rId3"/>
  </sheets>
  <calcPr calcId="124519" fullCalcOnLoad="1"/>
</workbook>
</file>

<file path=xl/sharedStrings.xml><?xml version="1.0" encoding="utf-8"?>
<sst xmlns="http://schemas.openxmlformats.org/spreadsheetml/2006/main" count="32" uniqueCount="26">
  <si>
    <t>Date:</t>
  </si>
  <si>
    <t>Request ID:</t>
  </si>
  <si>
    <t>10004</t>
  </si>
  <si>
    <t>Hotplate</t>
  </si>
  <si>
    <t>Analyte(s)</t>
  </si>
  <si>
    <t>Ca</t>
  </si>
  <si>
    <t>SOP#</t>
  </si>
  <si>
    <t>Cocktail</t>
  </si>
  <si>
    <t>sample(s)</t>
  </si>
  <si>
    <t>weight (g)</t>
  </si>
  <si>
    <t>volume (mL)</t>
  </si>
  <si>
    <t>20012_1</t>
  </si>
  <si>
    <t>20012_2</t>
  </si>
  <si>
    <t>Ca ICP analysis</t>
  </si>
  <si>
    <t>sample</t>
  </si>
  <si>
    <t>Dilution</t>
  </si>
  <si>
    <t>conc. [mg/L]</t>
  </si>
  <si>
    <t>Ca_ppm</t>
  </si>
  <si>
    <t>%Ca</t>
  </si>
  <si>
    <t>ca result:</t>
  </si>
  <si>
    <t>ca lot:</t>
  </si>
  <si>
    <t>Manufacturer: Assurance, 28-35CAY exp: 2026-10-30</t>
  </si>
  <si>
    <t>Note(s):</t>
  </si>
  <si>
    <t>ppm M+ = [conc.][volume][dilution]/[weight]</t>
  </si>
  <si>
    <t>%M+ = [conc.][volume][dilution]/([weight]*10,000)</t>
  </si>
  <si>
    <t>%MO = [oxide factor]*%M+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</si>
</sst>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0.00"/>
    <numFmt numFmtId="168" formatCode="0.00&quot; ppm&quot;"/>
    <numFmt numFmtId="169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1.140625" bestFit="1" customWidth="1"/>
    <col min="2" max="2" width="10.7109375" bestFit="1" customWidth="1"/>
    <col min="3" max="3" width="12.140625" bestFit="1" customWidth="1"/>
  </cols>
  <sheetData>
    <row r="1" spans="1:3">
      <c r="A1" s="1" t="s">
        <v>0</v>
      </c>
      <c r="B1" s="2">
        <v>46220</v>
      </c>
    </row>
    <row r="2" spans="1:3">
      <c r="A2" s="1" t="s">
        <v>1</v>
      </c>
      <c r="B2" s="3" t="s">
        <v>2</v>
      </c>
    </row>
    <row r="5" spans="1:3">
      <c r="A5" s="4" t="s">
        <v>3</v>
      </c>
      <c r="B5" s="4"/>
      <c r="C5" s="4"/>
    </row>
    <row r="6" spans="1:3">
      <c r="A6" s="5" t="s">
        <v>4</v>
      </c>
      <c r="B6" s="6" t="s">
        <v>5</v>
      </c>
      <c r="C6" s="6"/>
    </row>
    <row r="7" spans="1:3">
      <c r="A7" s="5" t="s">
        <v>6</v>
      </c>
      <c r="B7" s="6"/>
      <c r="C7" s="6"/>
    </row>
    <row r="8" spans="1:3">
      <c r="A8" s="5" t="s">
        <v>7</v>
      </c>
      <c r="B8" s="6"/>
      <c r="C8" s="6"/>
    </row>
    <row r="9" spans="1:3">
      <c r="A9" s="5" t="s">
        <v>8</v>
      </c>
      <c r="B9" s="5" t="s">
        <v>9</v>
      </c>
      <c r="C9" s="5" t="s">
        <v>10</v>
      </c>
    </row>
    <row r="10" spans="1:3">
      <c r="A10" s="5" t="s">
        <v>11</v>
      </c>
      <c r="B10" s="7"/>
      <c r="C10" s="6"/>
    </row>
    <row r="11" spans="1:3">
      <c r="A11" s="5" t="s">
        <v>12</v>
      </c>
      <c r="B11" s="7"/>
      <c r="C11" s="6"/>
    </row>
  </sheetData>
  <mergeCells count="4">
    <mergeCell ref="A5:C5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cols>
    <col min="1" max="1" width="13.85546875" bestFit="1" customWidth="1"/>
    <col min="2" max="2" width="10.7109375" bestFit="1" customWidth="1"/>
    <col min="3" max="3" width="12.7109375" customWidth="1"/>
    <col min="4" max="4" width="8.140625" bestFit="1" customWidth="1"/>
    <col min="5" max="6" width="7.7109375" customWidth="1"/>
  </cols>
  <sheetData>
    <row r="1" spans="1:9">
      <c r="A1" s="1" t="s">
        <v>0</v>
      </c>
      <c r="B1" s="2">
        <v>46220</v>
      </c>
    </row>
    <row r="2" spans="1:9">
      <c r="A2" s="1" t="s">
        <v>1</v>
      </c>
      <c r="B2" s="3" t="s">
        <v>2</v>
      </c>
    </row>
    <row r="5" spans="1:9">
      <c r="A5" s="3" t="s">
        <v>13</v>
      </c>
      <c r="B5" s="3"/>
    </row>
    <row r="6" spans="1:9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</row>
    <row r="7" spans="1:9">
      <c r="A7" s="5" t="s">
        <v>11</v>
      </c>
      <c r="B7" s="6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digestion_page!B10</f>
        <v>0</v>
      </c>
      <c r="H7" s="10">
        <f>digestion_page!C10</f>
        <v>0</v>
      </c>
      <c r="I7" s="10">
        <f>(LEFT(B7,FIND("/",B7)-1)/RIGHT(B7,LEN(B7)-FIND("/", B7)))</f>
        <v>0</v>
      </c>
    </row>
    <row r="8" spans="1:9">
      <c r="A8" s="5" t="s">
        <v>12</v>
      </c>
      <c r="B8" s="6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digestion_page!B11</f>
        <v>0</v>
      </c>
      <c r="H8" s="10">
        <f>digestion_page!C11</f>
        <v>0</v>
      </c>
      <c r="I8" s="10">
        <f>(LEFT(B8,FIND("/",B8)-1)/RIGHT(B8,LEN(B8)-FIND("/", B8)))</f>
        <v>0</v>
      </c>
    </row>
    <row r="10" spans="1:9">
      <c r="A10" s="11" t="s">
        <v>19</v>
      </c>
      <c r="B10" s="11"/>
      <c r="C10" s="12">
        <f>AVERAGE(D7:D8)</f>
        <v>0</v>
      </c>
    </row>
    <row r="11" spans="1:9">
      <c r="A11" s="11" t="s">
        <v>19</v>
      </c>
      <c r="B11" s="11"/>
      <c r="C11" s="13">
        <f>AVERAGE(E7:E8)</f>
        <v>0</v>
      </c>
    </row>
    <row r="12" spans="1:9">
      <c r="A12" s="11" t="s">
        <v>20</v>
      </c>
      <c r="B12" s="11"/>
      <c r="C12" s="14" t="s">
        <v>21</v>
      </c>
      <c r="D12" s="14"/>
      <c r="E12" s="14"/>
      <c r="F12" s="14"/>
    </row>
    <row r="14" spans="1:9">
      <c r="B14" s="11" t="s">
        <v>22</v>
      </c>
      <c r="C14" s="15"/>
      <c r="D14" s="15"/>
      <c r="E14" s="15"/>
      <c r="F14" s="15"/>
    </row>
    <row r="15" spans="1:9">
      <c r="C15" s="15"/>
      <c r="D15" s="15"/>
      <c r="E15" s="15"/>
      <c r="F15" s="15"/>
    </row>
    <row r="16" spans="1:9">
      <c r="C16" s="15"/>
      <c r="D16" s="15"/>
      <c r="E16" s="15"/>
      <c r="F16" s="15"/>
    </row>
  </sheetData>
  <mergeCells count="6">
    <mergeCell ref="A5:B5"/>
    <mergeCell ref="A10:B10"/>
    <mergeCell ref="A11:B11"/>
    <mergeCell ref="A12:B12"/>
    <mergeCell ref="C12:F12"/>
    <mergeCell ref="C14:F16"/>
  </mergeCells>
  <conditionalFormatting sqref="C12:F12">
    <cfRule type="containsBlanks" dxfId="0" priority="1">
      <formula>LEN(TRIM(C12))=0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46.140625" bestFit="1" customWidth="1"/>
  </cols>
  <sheetData>
    <row r="1" spans="1:1">
      <c r="A1" s="16" t="s">
        <v>23</v>
      </c>
    </row>
    <row r="3" spans="1:1">
      <c r="A3" s="16" t="s">
        <v>24</v>
      </c>
    </row>
    <row r="5" spans="1:1">
      <c r="A5" s="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digestion_page</vt:lpstr>
      <vt:lpstr>20012</vt:lpstr>
      <vt:lpstr>formula_page</vt:lpstr>
    </vt:vector>
  </TitlesOfParts>
  <Company>Clariant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2026-07-17T21:55:14Z</dcterms:created>
  <dcterms:modified xsi:type="dcterms:W3CDTF">2026-07-17T21:55:14Z</dcterms:modified>
</cp:coreProperties>
</file>