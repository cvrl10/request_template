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request_template\dist\"/>
    </mc:Choice>
  </mc:AlternateContent>
  <xr:revisionPtr revIDLastSave="0" documentId="13_ncr:1_{D04CEB1C-7885-4015-AD43-5AE4286AF2F6}" xr6:coauthVersionLast="47" xr6:coauthVersionMax="47" xr10:uidLastSave="{00000000-0000-0000-0000-000000000000}"/>
  <bookViews>
    <workbookView xWindow="-23148" yWindow="-108" windowWidth="23256" windowHeight="12456" activeTab="2" xr2:uid="{00000000-000D-0000-FFFF-FFFF00000000}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3" l="1"/>
  <c r="H26" i="3"/>
  <c r="G26" i="3"/>
  <c r="B26" i="3"/>
  <c r="H25" i="3"/>
  <c r="G25" i="3"/>
  <c r="B25" i="3"/>
  <c r="I25" i="3" s="1"/>
  <c r="H17" i="3"/>
  <c r="G17" i="3"/>
  <c r="B17" i="3"/>
  <c r="I17" i="3" s="1"/>
  <c r="I16" i="3"/>
  <c r="H16" i="3"/>
  <c r="D16" i="3" s="1"/>
  <c r="E16" i="3" s="1"/>
  <c r="G16" i="3"/>
  <c r="B16" i="3"/>
  <c r="I8" i="3"/>
  <c r="H8" i="3"/>
  <c r="G8" i="3"/>
  <c r="B8" i="3"/>
  <c r="I7" i="3"/>
  <c r="H7" i="3"/>
  <c r="G7" i="3"/>
  <c r="B7" i="3"/>
  <c r="I17" i="2"/>
  <c r="H17" i="2"/>
  <c r="D17" i="2" s="1"/>
  <c r="E17" i="2" s="1"/>
  <c r="G17" i="2"/>
  <c r="B17" i="2"/>
  <c r="I16" i="2"/>
  <c r="H16" i="2"/>
  <c r="G16" i="2"/>
  <c r="B16" i="2"/>
  <c r="I8" i="2"/>
  <c r="D8" i="2" s="1"/>
  <c r="E8" i="2" s="1"/>
  <c r="H8" i="2"/>
  <c r="G8" i="2"/>
  <c r="B8" i="2"/>
  <c r="I7" i="2"/>
  <c r="D7" i="2" s="1"/>
  <c r="H7" i="2"/>
  <c r="G7" i="2"/>
  <c r="B7" i="2"/>
  <c r="D8" i="3" l="1"/>
  <c r="E8" i="3" s="1"/>
  <c r="D7" i="3"/>
  <c r="C10" i="3" s="1"/>
  <c r="D17" i="3"/>
  <c r="E17" i="3" s="1"/>
  <c r="C20" i="3" s="1"/>
  <c r="D25" i="3"/>
  <c r="D26" i="3"/>
  <c r="E26" i="3" s="1"/>
  <c r="D16" i="2"/>
  <c r="E25" i="3"/>
  <c r="C10" i="2"/>
  <c r="E7" i="2"/>
  <c r="C11" i="2" s="1"/>
  <c r="E16" i="2"/>
  <c r="C20" i="2" s="1"/>
  <c r="C19" i="2"/>
  <c r="C19" i="3"/>
  <c r="E7" i="3" l="1"/>
  <c r="C11" i="3" s="1"/>
  <c r="C29" i="3"/>
  <c r="C28" i="3"/>
</calcChain>
</file>

<file path=xl/sharedStrings.xml><?xml version="1.0" encoding="utf-8"?>
<sst xmlns="http://schemas.openxmlformats.org/spreadsheetml/2006/main" count="96" uniqueCount="41">
  <si>
    <t>Date:</t>
  </si>
  <si>
    <t>Request ID:</t>
  </si>
  <si>
    <t>100048600</t>
  </si>
  <si>
    <t>Hotplate</t>
  </si>
  <si>
    <t>Analyte(s)</t>
  </si>
  <si>
    <t>Na, Zr</t>
  </si>
  <si>
    <t>SOP#</t>
  </si>
  <si>
    <t>Cocktail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</si>
  <si>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</si>
  <si>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</si>
  <si>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</si>
  <si>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</si>
  <si>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</si>
  <si>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</si>
  <si>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</si>
  <si>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La</t>
  </si>
  <si>
    <t>Na ICP analysis</t>
  </si>
  <si>
    <t>sample</t>
  </si>
  <si>
    <t>Dilution</t>
  </si>
  <si>
    <t>conc. [mg/L]</t>
  </si>
  <si>
    <t>Na_ppm</t>
  </si>
  <si>
    <t>%Na</t>
  </si>
  <si>
    <t>na result:</t>
  </si>
  <si>
    <t>na lot:</t>
  </si>
  <si>
    <t>Zr ICP analysis</t>
  </si>
  <si>
    <t>Zr_ppm</t>
  </si>
  <si>
    <t>%Zr</t>
  </si>
  <si>
    <t>zr result:</t>
  </si>
  <si>
    <t>zr lot:</t>
  </si>
  <si>
    <t>Manufacturer: Assurance, 27-159NAY exp: 2026-08-30</t>
  </si>
  <si>
    <t>Manufacturer: Assurance, 28-64ZRY exp: 2026-10-30</t>
  </si>
  <si>
    <t>Note(s):</t>
  </si>
  <si>
    <t>La ICP analysis</t>
  </si>
  <si>
    <t>La_ppm</t>
  </si>
  <si>
    <t>%La</t>
  </si>
  <si>
    <t>la result:</t>
  </si>
  <si>
    <t>la lot:</t>
  </si>
  <si>
    <t>Manufacturer: Assurance, 28-70LAY exp: 2027-02-28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</si>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</sst>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000"/>
    <numFmt numFmtId="166" formatCode="0.000"/>
    <numFmt numFmtId="167" formatCode="0.00&quot; ppm&quot;"/>
    <numFmt numFmtId="168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2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5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workbookViewId="0">
      <selection activeCell="C21" sqref="C21:C22"/>
    </sheetView>
  </sheetViews>
  <sheetFormatPr defaultRowHeight="14.4" x14ac:dyDescent="0.3"/>
  <cols>
    <col min="1" max="1" width="12" bestFit="1" customWidth="1"/>
    <col min="2" max="2" width="10.6640625" bestFit="1" customWidth="1"/>
    <col min="3" max="3" width="12.109375" bestFit="1" customWidth="1"/>
  </cols>
  <sheetData>
    <row r="1" spans="1:3" x14ac:dyDescent="0.3">
      <c r="A1" s="1" t="s">
        <v>0</v>
      </c>
      <c r="B1" s="2">
        <v>46204</v>
      </c>
    </row>
    <row r="2" spans="1:3" x14ac:dyDescent="0.3">
      <c r="A2" s="1" t="s">
        <v>1</v>
      </c>
      <c r="B2" s="3" t="s">
        <v>2</v>
      </c>
    </row>
    <row r="5" spans="1:3" x14ac:dyDescent="0.3">
      <c r="A5" s="14" t="s">
        <v>3</v>
      </c>
      <c r="B5" s="14"/>
      <c r="C5" s="14"/>
    </row>
    <row r="6" spans="1:3" x14ac:dyDescent="0.3">
      <c r="A6" s="4" t="s">
        <v>4</v>
      </c>
      <c r="B6" s="15" t="s">
        <v>5</v>
      </c>
      <c r="C6" s="15"/>
    </row>
    <row r="7" spans="1:3" x14ac:dyDescent="0.3">
      <c r="A7" s="4" t="s">
        <v>6</v>
      </c>
      <c r="B7" s="15"/>
      <c r="C7" s="15"/>
    </row>
    <row r="8" spans="1:3" x14ac:dyDescent="0.3">
      <c r="A8" s="4" t="s">
        <v>7</v>
      </c>
      <c r="B8" s="15"/>
      <c r="C8" s="15"/>
    </row>
    <row r="9" spans="1:3" x14ac:dyDescent="0.3">
      <c r="A9" s="4" t="s">
        <v>8</v>
      </c>
      <c r="B9" s="4" t="s">
        <v>9</v>
      </c>
      <c r="C9" s="4" t="s">
        <v>10</v>
      </c>
    </row>
    <row r="10" spans="1:3" x14ac:dyDescent="0.3">
      <c r="A10" s="4" t="s">
        <v>11</v>
      </c>
      <c r="B10" s="6"/>
      <c r="C10" s="5">
        <v>200</v>
      </c>
    </row>
    <row r="11" spans="1:3" x14ac:dyDescent="0.3">
      <c r="A11" s="4" t="s">
        <v>12</v>
      </c>
      <c r="B11" s="6"/>
      <c r="C11" s="5">
        <v>200</v>
      </c>
    </row>
    <row r="12" spans="1:3" x14ac:dyDescent="0.3">
      <c r="A12" s="4" t="s">
        <v>13</v>
      </c>
      <c r="B12" s="6">
        <v>0.2</v>
      </c>
      <c r="C12" s="5">
        <v>200</v>
      </c>
    </row>
    <row r="13" spans="1:3" x14ac:dyDescent="0.3">
      <c r="A13" s="4" t="s">
        <v>14</v>
      </c>
      <c r="B13" s="6">
        <v>0.2</v>
      </c>
      <c r="C13" s="5">
        <v>200</v>
      </c>
    </row>
    <row r="16" spans="1:3" x14ac:dyDescent="0.3">
      <c r="A16" s="14" t="s">
        <v>3</v>
      </c>
      <c r="B16" s="14"/>
      <c r="C16" s="14"/>
    </row>
    <row r="17" spans="1:3" x14ac:dyDescent="0.3">
      <c r="A17" s="4" t="s">
        <v>4</v>
      </c>
      <c r="B17" s="15" t="s">
        <v>15</v>
      </c>
      <c r="C17" s="15"/>
    </row>
    <row r="18" spans="1:3" x14ac:dyDescent="0.3">
      <c r="A18" s="4" t="s">
        <v>6</v>
      </c>
      <c r="B18" s="15"/>
      <c r="C18" s="15"/>
    </row>
    <row r="19" spans="1:3" x14ac:dyDescent="0.3">
      <c r="A19" s="4" t="s">
        <v>7</v>
      </c>
      <c r="B19" s="15"/>
      <c r="C19" s="15"/>
    </row>
    <row r="20" spans="1:3" x14ac:dyDescent="0.3">
      <c r="A20" s="4" t="s">
        <v>8</v>
      </c>
      <c r="B20" s="4" t="s">
        <v>9</v>
      </c>
      <c r="C20" s="4" t="s">
        <v>10</v>
      </c>
    </row>
    <row r="21" spans="1:3" x14ac:dyDescent="0.3">
      <c r="A21" s="4" t="s">
        <v>13</v>
      </c>
      <c r="B21" s="6">
        <v>0.2</v>
      </c>
      <c r="C21" s="5">
        <v>200</v>
      </c>
    </row>
    <row r="22" spans="1:3" x14ac:dyDescent="0.3">
      <c r="A22" s="4" t="s">
        <v>14</v>
      </c>
      <c r="B22" s="6">
        <v>0.2</v>
      </c>
      <c r="C22" s="5">
        <v>200</v>
      </c>
    </row>
  </sheetData>
  <mergeCells count="8">
    <mergeCell ref="B17:C17"/>
    <mergeCell ref="B18:C18"/>
    <mergeCell ref="B19:C19"/>
    <mergeCell ref="A5:C5"/>
    <mergeCell ref="B6:C6"/>
    <mergeCell ref="B7:C7"/>
    <mergeCell ref="B8:C8"/>
    <mergeCell ref="A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"/>
  <sheetViews>
    <sheetView workbookViewId="0"/>
  </sheetViews>
  <sheetFormatPr defaultRowHeight="14.4" x14ac:dyDescent="0.3"/>
  <cols>
    <col min="1" max="1" width="12" bestFit="1" customWidth="1"/>
    <col min="2" max="2" width="10.6640625" bestFit="1" customWidth="1"/>
    <col min="3" max="3" width="12.6640625" customWidth="1"/>
    <col min="4" max="4" width="8.44140625" bestFit="1" customWidth="1"/>
    <col min="5" max="5" width="7.6640625" customWidth="1"/>
    <col min="6" max="6" width="16" customWidth="1"/>
    <col min="7" max="15" width="7.6640625" customWidth="1"/>
  </cols>
  <sheetData>
    <row r="1" spans="1:9" x14ac:dyDescent="0.3">
      <c r="A1" s="1" t="s">
        <v>0</v>
      </c>
      <c r="B1" s="2">
        <v>46204</v>
      </c>
    </row>
    <row r="2" spans="1:9" x14ac:dyDescent="0.3">
      <c r="A2" s="1" t="s">
        <v>1</v>
      </c>
      <c r="B2" s="3" t="s">
        <v>2</v>
      </c>
    </row>
    <row r="5" spans="1:9" x14ac:dyDescent="0.3">
      <c r="A5" s="16" t="s">
        <v>16</v>
      </c>
      <c r="B5" s="16"/>
    </row>
    <row r="6" spans="1:9" x14ac:dyDescent="0.3">
      <c r="A6" s="4" t="s">
        <v>17</v>
      </c>
      <c r="B6" s="4" t="s">
        <v>18</v>
      </c>
      <c r="C6" s="4" t="s">
        <v>19</v>
      </c>
      <c r="D6" s="4" t="s">
        <v>20</v>
      </c>
      <c r="E6" s="4" t="s">
        <v>21</v>
      </c>
    </row>
    <row r="7" spans="1:9" x14ac:dyDescent="0.3">
      <c r="A7" s="4" t="s">
        <v>11</v>
      </c>
      <c r="B7" s="5" t="str">
        <f>"1/1"</f>
        <v>1/1</v>
      </c>
      <c r="C7" s="7"/>
      <c r="D7" s="8" t="e">
        <f>((C7)*(H7)*(I7))/(G7*1)</f>
        <v>#DIV/0!</v>
      </c>
      <c r="E7" s="8" t="e">
        <f>D7/10000</f>
        <v>#DIV/0!</v>
      </c>
      <c r="G7" s="9">
        <f>digestion_page!B10</f>
        <v>0</v>
      </c>
      <c r="H7" s="9">
        <f>digestion_page!C10</f>
        <v>200</v>
      </c>
      <c r="I7" s="9">
        <f>(LEFT(B7,FIND("/",B7)-1)/RIGHT(B7,LEN(B7)-FIND("/", B7)))</f>
        <v>1</v>
      </c>
    </row>
    <row r="8" spans="1:9" x14ac:dyDescent="0.3">
      <c r="A8" s="4" t="s">
        <v>12</v>
      </c>
      <c r="B8" s="5" t="str">
        <f>"1/1"</f>
        <v>1/1</v>
      </c>
      <c r="C8" s="7"/>
      <c r="D8" s="8" t="e">
        <f>((C8)*(H8)*(I8))/(G8*1)</f>
        <v>#DIV/0!</v>
      </c>
      <c r="E8" s="8" t="e">
        <f>D8/10000</f>
        <v>#DIV/0!</v>
      </c>
      <c r="G8" s="9">
        <f>digestion_page!B11</f>
        <v>0</v>
      </c>
      <c r="H8" s="9">
        <f>digestion_page!C11</f>
        <v>200</v>
      </c>
      <c r="I8" s="9">
        <f>(LEFT(B8,FIND("/",B8)-1)/RIGHT(B8,LEN(B8)-FIND("/", B8)))</f>
        <v>1</v>
      </c>
    </row>
    <row r="10" spans="1:9" x14ac:dyDescent="0.3">
      <c r="A10" s="17" t="s">
        <v>22</v>
      </c>
      <c r="B10" s="17"/>
      <c r="C10" s="11" t="e">
        <f>AVERAGE(D7:D8)</f>
        <v>#DIV/0!</v>
      </c>
    </row>
    <row r="11" spans="1:9" x14ac:dyDescent="0.3">
      <c r="A11" s="17" t="s">
        <v>22</v>
      </c>
      <c r="B11" s="17"/>
      <c r="C11" s="12" t="e">
        <f>AVERAGE(E7:E8)</f>
        <v>#DIV/0!</v>
      </c>
    </row>
    <row r="12" spans="1:9" x14ac:dyDescent="0.3">
      <c r="A12" s="17" t="s">
        <v>23</v>
      </c>
      <c r="B12" s="17"/>
      <c r="C12" s="18" t="s">
        <v>29</v>
      </c>
      <c r="D12" s="18"/>
      <c r="E12" s="18"/>
      <c r="F12" s="18"/>
    </row>
    <row r="14" spans="1:9" x14ac:dyDescent="0.3">
      <c r="A14" s="16" t="s">
        <v>24</v>
      </c>
      <c r="B14" s="16"/>
    </row>
    <row r="15" spans="1:9" x14ac:dyDescent="0.3">
      <c r="A15" s="4" t="s">
        <v>17</v>
      </c>
      <c r="B15" s="4" t="s">
        <v>18</v>
      </c>
      <c r="C15" s="4" t="s">
        <v>19</v>
      </c>
      <c r="D15" s="4" t="s">
        <v>25</v>
      </c>
      <c r="E15" s="4" t="s">
        <v>26</v>
      </c>
    </row>
    <row r="16" spans="1:9" x14ac:dyDescent="0.3">
      <c r="A16" s="4" t="s">
        <v>11</v>
      </c>
      <c r="B16" s="5" t="str">
        <f>"1/1"</f>
        <v>1/1</v>
      </c>
      <c r="C16" s="7"/>
      <c r="D16" s="8" t="e">
        <f>((C16)*(H16)*(I16))/(G16*1)</f>
        <v>#DIV/0!</v>
      </c>
      <c r="E16" s="8" t="e">
        <f>D16/10000</f>
        <v>#DIV/0!</v>
      </c>
      <c r="G16" s="9">
        <f>digestion_page!B10</f>
        <v>0</v>
      </c>
      <c r="H16" s="9">
        <f>digestion_page!C10</f>
        <v>200</v>
      </c>
      <c r="I16" s="9">
        <f>(LEFT(B16,FIND("/",B16)-1)/RIGHT(B16,LEN(B16)-FIND("/", B16)))</f>
        <v>1</v>
      </c>
    </row>
    <row r="17" spans="1:9" x14ac:dyDescent="0.3">
      <c r="A17" s="4" t="s">
        <v>12</v>
      </c>
      <c r="B17" s="5" t="str">
        <f>"1/1"</f>
        <v>1/1</v>
      </c>
      <c r="C17" s="7"/>
      <c r="D17" s="8" t="e">
        <f>((C17)*(H17)*(I17))/(G17*1)</f>
        <v>#DIV/0!</v>
      </c>
      <c r="E17" s="8" t="e">
        <f>D17/10000</f>
        <v>#DIV/0!</v>
      </c>
      <c r="G17" s="9">
        <f>digestion_page!B11</f>
        <v>0</v>
      </c>
      <c r="H17" s="9">
        <f>digestion_page!C11</f>
        <v>200</v>
      </c>
      <c r="I17" s="9">
        <f>(LEFT(B17,FIND("/",B17)-1)/RIGHT(B17,LEN(B17)-FIND("/", B17)))</f>
        <v>1</v>
      </c>
    </row>
    <row r="19" spans="1:9" x14ac:dyDescent="0.3">
      <c r="A19" s="17" t="s">
        <v>27</v>
      </c>
      <c r="B19" s="17"/>
      <c r="C19" s="11" t="e">
        <f>AVERAGE(D16:D17)</f>
        <v>#DIV/0!</v>
      </c>
    </row>
    <row r="20" spans="1:9" x14ac:dyDescent="0.3">
      <c r="A20" s="17" t="s">
        <v>27</v>
      </c>
      <c r="B20" s="17"/>
      <c r="C20" s="12" t="e">
        <f>AVERAGE(E16:E17)</f>
        <v>#DIV/0!</v>
      </c>
    </row>
    <row r="21" spans="1:9" x14ac:dyDescent="0.3">
      <c r="A21" s="17" t="s">
        <v>28</v>
      </c>
      <c r="B21" s="17"/>
      <c r="C21" s="18" t="s">
        <v>30</v>
      </c>
      <c r="D21" s="18"/>
      <c r="E21" s="18"/>
      <c r="F21" s="18"/>
    </row>
    <row r="23" spans="1:9" x14ac:dyDescent="0.3">
      <c r="B23" s="10" t="s">
        <v>31</v>
      </c>
      <c r="C23" s="19"/>
      <c r="D23" s="19"/>
      <c r="E23" s="19"/>
      <c r="F23" s="19"/>
    </row>
    <row r="24" spans="1:9" x14ac:dyDescent="0.3">
      <c r="C24" s="19"/>
      <c r="D24" s="19"/>
      <c r="E24" s="19"/>
      <c r="F24" s="19"/>
    </row>
    <row r="25" spans="1:9" x14ac:dyDescent="0.3">
      <c r="C25" s="19"/>
      <c r="D25" s="19"/>
      <c r="E25" s="19"/>
      <c r="F25" s="19"/>
    </row>
  </sheetData>
  <mergeCells count="11">
    <mergeCell ref="C23:F25"/>
    <mergeCell ref="A14:B14"/>
    <mergeCell ref="A19:B19"/>
    <mergeCell ref="A20:B20"/>
    <mergeCell ref="A21:B21"/>
    <mergeCell ref="C21:F21"/>
    <mergeCell ref="A5:B5"/>
    <mergeCell ref="A10:B10"/>
    <mergeCell ref="A11:B11"/>
    <mergeCell ref="A12:B12"/>
    <mergeCell ref="C12:F12"/>
  </mergeCells>
  <conditionalFormatting sqref="C12:F12">
    <cfRule type="containsBlanks" dxfId="4" priority="1">
      <formula>LEN(TRIM(C12))=0</formula>
    </cfRule>
  </conditionalFormatting>
  <conditionalFormatting sqref="C21:F21">
    <cfRule type="containsBlanks" dxfId="3" priority="2">
      <formula>LEN(TRIM(C21))=0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tabSelected="1" workbookViewId="0">
      <selection activeCell="K8" sqref="K8"/>
    </sheetView>
  </sheetViews>
  <sheetFormatPr defaultRowHeight="14.4" x14ac:dyDescent="0.3"/>
  <cols>
    <col min="1" max="1" width="14.109375" bestFit="1" customWidth="1"/>
    <col min="2" max="2" width="10.6640625" bestFit="1" customWidth="1"/>
    <col min="3" max="3" width="12.6640625" customWidth="1"/>
    <col min="4" max="4" width="8.44140625" bestFit="1" customWidth="1"/>
    <col min="5" max="5" width="7.6640625" customWidth="1"/>
    <col min="6" max="6" width="16" customWidth="1"/>
    <col min="7" max="24" width="7.6640625" customWidth="1"/>
  </cols>
  <sheetData>
    <row r="1" spans="1:9" x14ac:dyDescent="0.3">
      <c r="A1" s="1" t="s">
        <v>0</v>
      </c>
      <c r="B1" s="2">
        <v>46204</v>
      </c>
    </row>
    <row r="2" spans="1:9" x14ac:dyDescent="0.3">
      <c r="A2" s="1" t="s">
        <v>1</v>
      </c>
      <c r="B2" s="3" t="s">
        <v>2</v>
      </c>
    </row>
    <row r="5" spans="1:9" x14ac:dyDescent="0.3">
      <c r="A5" s="16" t="s">
        <v>32</v>
      </c>
      <c r="B5" s="16"/>
    </row>
    <row r="6" spans="1:9" x14ac:dyDescent="0.3">
      <c r="A6" s="4" t="s">
        <v>17</v>
      </c>
      <c r="B6" s="4" t="s">
        <v>18</v>
      </c>
      <c r="C6" s="4" t="s">
        <v>19</v>
      </c>
      <c r="D6" s="4" t="s">
        <v>33</v>
      </c>
      <c r="E6" s="4" t="s">
        <v>34</v>
      </c>
    </row>
    <row r="7" spans="1:9" x14ac:dyDescent="0.3">
      <c r="A7" s="4" t="s">
        <v>13</v>
      </c>
      <c r="B7" s="5" t="str">
        <f>"1/1"</f>
        <v>1/1</v>
      </c>
      <c r="C7" s="7"/>
      <c r="D7" s="8">
        <f>((C7)*(H7)*(I7))/(G7*1)</f>
        <v>0</v>
      </c>
      <c r="E7" s="8">
        <f>D7/10000</f>
        <v>0</v>
      </c>
      <c r="G7" s="9">
        <f>digestion_page!B21</f>
        <v>0.2</v>
      </c>
      <c r="H7" s="9">
        <f>digestion_page!C21</f>
        <v>200</v>
      </c>
      <c r="I7" s="9">
        <f>(LEFT(B7,FIND("/",B7)-1)/RIGHT(B7,LEN(B7)-FIND("/", B7)))</f>
        <v>1</v>
      </c>
    </row>
    <row r="8" spans="1:9" x14ac:dyDescent="0.3">
      <c r="A8" s="4" t="s">
        <v>14</v>
      </c>
      <c r="B8" s="5" t="str">
        <f>"1/1"</f>
        <v>1/1</v>
      </c>
      <c r="C8" s="7"/>
      <c r="D8" s="8">
        <f>((C8)*(H8)*(I8))/(G8*1)</f>
        <v>0</v>
      </c>
      <c r="E8" s="8">
        <f>D8/10000</f>
        <v>0</v>
      </c>
      <c r="G8" s="9">
        <f>digestion_page!B22</f>
        <v>0.2</v>
      </c>
      <c r="H8" s="9">
        <f>digestion_page!C22</f>
        <v>200</v>
      </c>
      <c r="I8" s="9">
        <f>(LEFT(B8,FIND("/",B8)-1)/RIGHT(B8,LEN(B8)-FIND("/", B8)))</f>
        <v>1</v>
      </c>
    </row>
    <row r="10" spans="1:9" x14ac:dyDescent="0.3">
      <c r="A10" s="17" t="s">
        <v>35</v>
      </c>
      <c r="B10" s="17"/>
      <c r="C10" s="11">
        <f>AVERAGE(D7:D8)</f>
        <v>0</v>
      </c>
    </row>
    <row r="11" spans="1:9" x14ac:dyDescent="0.3">
      <c r="A11" s="17" t="s">
        <v>35</v>
      </c>
      <c r="B11" s="17"/>
      <c r="C11" s="12">
        <f>AVERAGE(E7:E8)</f>
        <v>0</v>
      </c>
    </row>
    <row r="12" spans="1:9" x14ac:dyDescent="0.3">
      <c r="A12" s="17" t="s">
        <v>36</v>
      </c>
      <c r="B12" s="17"/>
      <c r="C12" s="18" t="s">
        <v>37</v>
      </c>
      <c r="D12" s="18"/>
      <c r="E12" s="18"/>
      <c r="F12" s="18"/>
    </row>
    <row r="14" spans="1:9" x14ac:dyDescent="0.3">
      <c r="A14" s="16" t="s">
        <v>16</v>
      </c>
      <c r="B14" s="16"/>
    </row>
    <row r="15" spans="1:9" x14ac:dyDescent="0.3">
      <c r="A15" s="4" t="s">
        <v>17</v>
      </c>
      <c r="B15" s="4" t="s">
        <v>18</v>
      </c>
      <c r="C15" s="4" t="s">
        <v>19</v>
      </c>
      <c r="D15" s="4" t="s">
        <v>20</v>
      </c>
      <c r="E15" s="4" t="s">
        <v>21</v>
      </c>
    </row>
    <row r="16" spans="1:9" x14ac:dyDescent="0.3">
      <c r="A16" s="4" t="s">
        <v>13</v>
      </c>
      <c r="B16" s="5" t="str">
        <f>"1/1"</f>
        <v>1/1</v>
      </c>
      <c r="C16" s="7"/>
      <c r="D16" s="8">
        <f>((C16)*(H16)*(I16))/(G16*1)</f>
        <v>0</v>
      </c>
      <c r="E16" s="8">
        <f>D16/10000</f>
        <v>0</v>
      </c>
      <c r="G16" s="9">
        <f>digestion_page!B12</f>
        <v>0.2</v>
      </c>
      <c r="H16" s="9">
        <f>digestion_page!C12</f>
        <v>200</v>
      </c>
      <c r="I16" s="9">
        <f>(LEFT(B16,FIND("/",B16)-1)/RIGHT(B16,LEN(B16)-FIND("/", B16)))</f>
        <v>1</v>
      </c>
    </row>
    <row r="17" spans="1:9" x14ac:dyDescent="0.3">
      <c r="A17" s="4" t="s">
        <v>14</v>
      </c>
      <c r="B17" s="5" t="str">
        <f>"1/1"</f>
        <v>1/1</v>
      </c>
      <c r="C17" s="7"/>
      <c r="D17" s="8">
        <f>((C17)*(H17)*(I17))/(G17*1)</f>
        <v>0</v>
      </c>
      <c r="E17" s="8">
        <f>D17/10000</f>
        <v>0</v>
      </c>
      <c r="G17" s="9">
        <f>digestion_page!B13</f>
        <v>0.2</v>
      </c>
      <c r="H17" s="9">
        <f>digestion_page!C13</f>
        <v>200</v>
      </c>
      <c r="I17" s="9">
        <f>(LEFT(B17,FIND("/",B17)-1)/RIGHT(B17,LEN(B17)-FIND("/", B17)))</f>
        <v>1</v>
      </c>
    </row>
    <row r="19" spans="1:9" x14ac:dyDescent="0.3">
      <c r="A19" s="17" t="s">
        <v>22</v>
      </c>
      <c r="B19" s="17"/>
      <c r="C19" s="11">
        <f>AVERAGE(D16:D17)</f>
        <v>0</v>
      </c>
    </row>
    <row r="20" spans="1:9" x14ac:dyDescent="0.3">
      <c r="A20" s="17" t="s">
        <v>22</v>
      </c>
      <c r="B20" s="17"/>
      <c r="C20" s="12">
        <f>AVERAGE(E16:E17)</f>
        <v>0</v>
      </c>
    </row>
    <row r="21" spans="1:9" x14ac:dyDescent="0.3">
      <c r="A21" s="17" t="s">
        <v>23</v>
      </c>
      <c r="B21" s="17"/>
      <c r="C21" s="18" t="s">
        <v>29</v>
      </c>
      <c r="D21" s="18"/>
      <c r="E21" s="18"/>
      <c r="F21" s="18"/>
    </row>
    <row r="23" spans="1:9" x14ac:dyDescent="0.3">
      <c r="A23" s="16" t="s">
        <v>24</v>
      </c>
      <c r="B23" s="16"/>
    </row>
    <row r="24" spans="1:9" x14ac:dyDescent="0.3">
      <c r="A24" s="4" t="s">
        <v>17</v>
      </c>
      <c r="B24" s="4" t="s">
        <v>18</v>
      </c>
      <c r="C24" s="4" t="s">
        <v>19</v>
      </c>
      <c r="D24" s="4" t="s">
        <v>25</v>
      </c>
      <c r="E24" s="4" t="s">
        <v>26</v>
      </c>
    </row>
    <row r="25" spans="1:9" x14ac:dyDescent="0.3">
      <c r="A25" s="4" t="s">
        <v>13</v>
      </c>
      <c r="B25" s="5" t="str">
        <f>"1/1"</f>
        <v>1/1</v>
      </c>
      <c r="C25" s="7"/>
      <c r="D25" s="8">
        <f>((C25)*(H25)*(I25))/(G25*1)</f>
        <v>0</v>
      </c>
      <c r="E25" s="8">
        <f>D25/10000</f>
        <v>0</v>
      </c>
      <c r="G25" s="9">
        <f>digestion_page!B12</f>
        <v>0.2</v>
      </c>
      <c r="H25" s="9">
        <f>digestion_page!C12</f>
        <v>200</v>
      </c>
      <c r="I25" s="9">
        <f>(LEFT(B25,FIND("/",B25)-1)/RIGHT(B25,LEN(B25)-FIND("/", B25)))</f>
        <v>1</v>
      </c>
    </row>
    <row r="26" spans="1:9" x14ac:dyDescent="0.3">
      <c r="A26" s="4" t="s">
        <v>14</v>
      </c>
      <c r="B26" s="5" t="str">
        <f>"1/1"</f>
        <v>1/1</v>
      </c>
      <c r="C26" s="7"/>
      <c r="D26" s="8">
        <f>((C26)*(H26)*(I26))/(G26*1)</f>
        <v>0</v>
      </c>
      <c r="E26" s="8">
        <f>D26/10000</f>
        <v>0</v>
      </c>
      <c r="G26" s="9">
        <f>digestion_page!B13</f>
        <v>0.2</v>
      </c>
      <c r="H26" s="9">
        <f>digestion_page!C13</f>
        <v>200</v>
      </c>
      <c r="I26" s="9">
        <f>(LEFT(B26,FIND("/",B26)-1)/RIGHT(B26,LEN(B26)-FIND("/", B26)))</f>
        <v>1</v>
      </c>
    </row>
    <row r="28" spans="1:9" x14ac:dyDescent="0.3">
      <c r="A28" s="17" t="s">
        <v>27</v>
      </c>
      <c r="B28" s="17"/>
      <c r="C28" s="11">
        <f>AVERAGE(D25:D26)</f>
        <v>0</v>
      </c>
    </row>
    <row r="29" spans="1:9" x14ac:dyDescent="0.3">
      <c r="A29" s="17" t="s">
        <v>27</v>
      </c>
      <c r="B29" s="17"/>
      <c r="C29" s="12">
        <f>AVERAGE(E25:E26)</f>
        <v>0</v>
      </c>
    </row>
    <row r="30" spans="1:9" x14ac:dyDescent="0.3">
      <c r="A30" s="17" t="s">
        <v>28</v>
      </c>
      <c r="B30" s="17"/>
      <c r="C30" s="18" t="s">
        <v>30</v>
      </c>
      <c r="D30" s="18"/>
      <c r="E30" s="18"/>
      <c r="F30" s="18"/>
    </row>
    <row r="32" spans="1:9" x14ac:dyDescent="0.3">
      <c r="B32" s="10" t="s">
        <v>31</v>
      </c>
      <c r="C32" s="19"/>
      <c r="D32" s="19"/>
      <c r="E32" s="19"/>
      <c r="F32" s="19"/>
    </row>
    <row r="33" spans="3:6" x14ac:dyDescent="0.3">
      <c r="C33" s="19"/>
      <c r="D33" s="19"/>
      <c r="E33" s="19"/>
      <c r="F33" s="19"/>
    </row>
    <row r="34" spans="3:6" x14ac:dyDescent="0.3">
      <c r="C34" s="19"/>
      <c r="D34" s="19"/>
      <c r="E34" s="19"/>
      <c r="F34" s="19"/>
    </row>
  </sheetData>
  <mergeCells count="16">
    <mergeCell ref="C32:F34"/>
    <mergeCell ref="A23:B23"/>
    <mergeCell ref="A28:B28"/>
    <mergeCell ref="A29:B29"/>
    <mergeCell ref="A30:B30"/>
    <mergeCell ref="C30:F30"/>
    <mergeCell ref="A14:B14"/>
    <mergeCell ref="A19:B19"/>
    <mergeCell ref="A20:B20"/>
    <mergeCell ref="A21:B21"/>
    <mergeCell ref="C21:F21"/>
    <mergeCell ref="A5:B5"/>
    <mergeCell ref="A10:B10"/>
    <mergeCell ref="A11:B11"/>
    <mergeCell ref="A12:B12"/>
    <mergeCell ref="C12:F12"/>
  </mergeCells>
  <conditionalFormatting sqref="C12:F12">
    <cfRule type="containsBlanks" dxfId="2" priority="1">
      <formula>LEN(TRIM(C12))=0</formula>
    </cfRule>
  </conditionalFormatting>
  <conditionalFormatting sqref="C21:F21">
    <cfRule type="containsBlanks" dxfId="1" priority="2">
      <formula>LEN(TRIM(C21))=0</formula>
    </cfRule>
  </conditionalFormatting>
  <conditionalFormatting sqref="C30:F30">
    <cfRule type="containsBlanks" dxfId="0" priority="3">
      <formula>LEN(TRIM(C30))=0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"/>
  <sheetViews>
    <sheetView workbookViewId="0"/>
  </sheetViews>
  <sheetFormatPr defaultRowHeight="14.4" x14ac:dyDescent="0.3"/>
  <cols>
    <col min="1" max="1" width="46.109375" bestFit="1" customWidth="1"/>
  </cols>
  <sheetData>
    <row r="1" spans="1:1" x14ac:dyDescent="0.3">
      <c r="A1" s="13" t="s">
        <v>38</v>
      </c>
    </row>
    <row r="3" spans="1:1" x14ac:dyDescent="0.3">
      <c r="A3" s="13" t="s">
        <v>39</v>
      </c>
    </row>
    <row r="5" spans="1:1" x14ac:dyDescent="0.3">
      <c r="A5" s="13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Archemetre, Carl P.</cp:lastModifiedBy>
  <dcterms:created xsi:type="dcterms:W3CDTF">2026-07-02T01:13:14Z</dcterms:created>
  <dcterms:modified xsi:type="dcterms:W3CDTF">2026-07-02T01:14:38Z</dcterms:modified>
</cp:coreProperties>
</file>