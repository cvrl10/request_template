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archeme\PycharmProjects\request_template\dist\"/>
    </mc:Choice>
  </mc:AlternateContent>
  <xr:revisionPtr revIDLastSave="0" documentId="13_ncr:1_{2D36558E-2CEE-446B-BA70-EBFAFB4D0E21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digestion_page" sheetId="1" r:id="rId1"/>
    <sheet name="200128032" sheetId="2" r:id="rId2"/>
    <sheet name="200128033" sheetId="3" r:id="rId3"/>
    <sheet name="200128034" sheetId="4" r:id="rId4"/>
    <sheet name="formula_page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4" l="1"/>
  <c r="I8" i="4" s="1"/>
  <c r="D8" i="4" s="1"/>
  <c r="E8" i="4" s="1"/>
  <c r="B7" i="4"/>
  <c r="I7" i="4" s="1"/>
  <c r="D7" i="4" s="1"/>
  <c r="B8" i="3"/>
  <c r="I8" i="3" s="1"/>
  <c r="B7" i="3"/>
  <c r="I7" i="3" s="1"/>
  <c r="D7" i="3" s="1"/>
  <c r="B8" i="2"/>
  <c r="I8" i="2" s="1"/>
  <c r="B7" i="2"/>
  <c r="I7" i="2" s="1"/>
  <c r="H8" i="4"/>
  <c r="G8" i="4"/>
  <c r="H7" i="4"/>
  <c r="G7" i="4"/>
  <c r="H8" i="3"/>
  <c r="G8" i="3"/>
  <c r="H7" i="3"/>
  <c r="G7" i="3"/>
  <c r="H8" i="2"/>
  <c r="G8" i="2"/>
  <c r="H7" i="2"/>
  <c r="G7" i="2"/>
  <c r="D7" i="2" l="1"/>
  <c r="E7" i="2" s="1"/>
  <c r="E7" i="3"/>
  <c r="D8" i="3"/>
  <c r="E8" i="3" s="1"/>
  <c r="E7" i="4"/>
  <c r="C10" i="4"/>
  <c r="D8" i="2"/>
  <c r="E8" i="2" s="1"/>
  <c r="C10" i="3" l="1"/>
  <c r="C10" i="2"/>
  <c r="C13" i="2"/>
  <c r="C11" i="2"/>
  <c r="C13" i="3"/>
  <c r="C11" i="3"/>
  <c r="C13" i="4"/>
  <c r="C11" i="4"/>
</calcChain>
</file>

<file path=xl/sharedStrings.xml><?xml version="1.0" encoding="utf-8"?>
<sst xmlns="http://schemas.openxmlformats.org/spreadsheetml/2006/main" count="89" uniqueCount="49">
  <si>
    <t>Date:</t>
  </si>
  <si>
    <t>Request ID:</t>
  </si>
  <si>
    <t>100048568</t>
  </si>
  <si>
    <t>Microwave</t>
  </si>
  <si>
    <t>Element(s)</t>
  </si>
  <si>
    <t>Ca</t>
  </si>
  <si>
    <t>SOP#</t>
  </si>
  <si>
    <t>Acid Cocktail</t>
  </si>
  <si>
    <t>Rack</t>
  </si>
  <si>
    <t>Vessel</t>
  </si>
  <si>
    <t>Stir</t>
  </si>
  <si>
    <t>Time (min)</t>
  </si>
  <si>
    <t>Power (W)</t>
  </si>
  <si>
    <t>T1 (°C)</t>
  </si>
  <si>
    <t>T2 (°C)</t>
  </si>
  <si>
    <t>P (bar)</t>
  </si>
  <si>
    <t>sample(s)</t>
  </si>
  <si>
    <t>weight (g)</t>
  </si>
  <si>
    <t>volume (mL)</t>
  </si>
  <si>
    <t>200128032_1</t>
  </si>
  <si>
    <t>200128032_2</t>
  </si>
  <si>
    <t>200128033_1</t>
  </si>
  <si>
    <t>200128033_2</t>
  </si>
  <si>
    <t>200128034_1</t>
  </si>
  <si>
    <t>200128034_2</t>
  </si>
  <si>
    <t>Ca ICP analysis</t>
  </si>
  <si>
    <t>sample</t>
  </si>
  <si>
    <t>Dilution</t>
  </si>
  <si>
    <t>conc. [mg/L]</t>
  </si>
  <si>
    <t>Ca_ppm</t>
  </si>
  <si>
    <t>%Ca</t>
  </si>
  <si>
    <t>ca result:</t>
  </si>
  <si>
    <t>ca oxide factor:</t>
  </si>
  <si>
    <t>ca oxide result:</t>
  </si>
  <si>
    <t>ca lot:</t>
  </si>
  <si>
    <t>Note(s):</t>
  </si>
  <si>
    <t>A = crucible</t>
  </si>
  <si>
    <t>B = crucible + sample</t>
  </si>
  <si>
    <t>C = crucible + sample after drying</t>
  </si>
  <si>
    <t>%LOI = ([B-A]-[C-A])/(B-A)*100%</t>
  </si>
  <si>
    <t>ppm M+ = [conc.][volume][dilution]/[weight]</t>
  </si>
  <si>
    <t>%M+ = [conc.][volume][dilution]/([weight]*10,000)</t>
  </si>
  <si>
    <t>%MO = [oxide factor]*%M+</t>
  </si>
  <si>
    <t>ppm M+  [dried] = ppm M+/([1-(%LOI)/100])</t>
  </si>
  <si>
    <t>%M+  [dried] = %M+/([1-(%LOI)/100])</t>
  </si>
  <si>
    <t>%MO [dried] = %MO/([1-(%LOI)/100])</t>
  </si>
  <si>
    <t>%Cr(VI) = (1.733[mL FAS][N FAS])/([weight])</t>
  </si>
  <si>
    <t>%Cr2O3 = 1.462*[%Cr(VI)]</t>
  </si>
  <si>
    <t>%Cr(III) = total_Cr - Cr(VI)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</si>
</sst>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yyyy\-mm\-dd"/>
    <numFmt numFmtId="165" formatCode="0.0000"/>
    <numFmt numFmtId="166" formatCode="0.000"/>
    <numFmt numFmtId="167" formatCode="0.00&quot; ppm&quot;"/>
    <numFmt numFmtId="168" formatCode="0.00&quot; %&quot;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 applyAlignment="1">
      <alignment horizontal="right"/>
    </xf>
    <xf numFmtId="16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1" fillId="0" borderId="1" xfId="0" applyFont="1" applyBorder="1"/>
    <xf numFmtId="0" fontId="0" fillId="0" borderId="1" xfId="0" applyBorder="1"/>
    <xf numFmtId="165" fontId="0" fillId="0" borderId="1" xfId="0" applyNumberFormat="1" applyBorder="1"/>
    <xf numFmtId="166" fontId="0" fillId="0" borderId="1" xfId="0" applyNumberFormat="1" applyBorder="1"/>
    <xf numFmtId="2" fontId="0" fillId="0" borderId="1" xfId="0" applyNumberFormat="1" applyBorder="1"/>
    <xf numFmtId="0" fontId="2" fillId="0" borderId="0" xfId="0" applyFont="1"/>
    <xf numFmtId="0" fontId="0" fillId="0" borderId="0" xfId="0" applyAlignment="1">
      <alignment horizontal="right"/>
    </xf>
    <xf numFmtId="167" fontId="0" fillId="0" borderId="0" xfId="0" applyNumberFormat="1" applyAlignment="1">
      <alignment horizontal="left"/>
    </xf>
    <xf numFmtId="168" fontId="0" fillId="0" borderId="0" xfId="0" applyNumberFormat="1" applyAlignment="1">
      <alignment horizontal="left"/>
    </xf>
    <xf numFmtId="0" fontId="4" fillId="0" borderId="0" xfId="0" applyFont="1"/>
    <xf numFmtId="0" fontId="1" fillId="0" borderId="1" xfId="0" applyFont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0" fillId="2" borderId="0" xfId="0" applyFill="1" applyAlignment="1">
      <alignment horizontal="right"/>
    </xf>
    <xf numFmtId="168" fontId="0" fillId="2" borderId="0" xfId="0" applyNumberFormat="1" applyFill="1" applyAlignment="1">
      <alignment horizontal="left"/>
    </xf>
  </cellXfs>
  <cellStyles count="1">
    <cellStyle name="Normal" xfId="0" builtinId="0"/>
  </cellStyles>
  <dxfs count="3"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2"/>
  <sheetViews>
    <sheetView workbookViewId="0">
      <selection activeCell="B23" sqref="B23"/>
    </sheetView>
  </sheetViews>
  <sheetFormatPr defaultRowHeight="15" x14ac:dyDescent="0.25"/>
  <cols>
    <col min="1" max="1" width="12.28515625" bestFit="1" customWidth="1"/>
    <col min="2" max="2" width="10.7109375" customWidth="1"/>
    <col min="3" max="3" width="12.140625" bestFit="1" customWidth="1"/>
    <col min="4" max="4" width="7.140625" bestFit="1" customWidth="1"/>
    <col min="5" max="5" width="6.85546875" bestFit="1" customWidth="1"/>
  </cols>
  <sheetData>
    <row r="1" spans="1:5" x14ac:dyDescent="0.25">
      <c r="A1" s="1" t="s">
        <v>0</v>
      </c>
      <c r="B1" s="2">
        <v>46162</v>
      </c>
    </row>
    <row r="2" spans="1:5" x14ac:dyDescent="0.25">
      <c r="A2" s="1" t="s">
        <v>1</v>
      </c>
      <c r="B2" s="3" t="s">
        <v>2</v>
      </c>
    </row>
    <row r="5" spans="1:5" x14ac:dyDescent="0.25">
      <c r="A5" s="14" t="s">
        <v>3</v>
      </c>
      <c r="B5" s="14"/>
      <c r="C5" s="14"/>
      <c r="D5" s="14"/>
      <c r="E5" s="14"/>
    </row>
    <row r="6" spans="1:5" x14ac:dyDescent="0.25">
      <c r="A6" s="4" t="s">
        <v>4</v>
      </c>
      <c r="B6" s="15" t="s">
        <v>5</v>
      </c>
      <c r="C6" s="15"/>
      <c r="D6" s="15"/>
      <c r="E6" s="15"/>
    </row>
    <row r="7" spans="1:5" x14ac:dyDescent="0.25">
      <c r="A7" s="4" t="s">
        <v>6</v>
      </c>
      <c r="B7" s="15"/>
      <c r="C7" s="15"/>
      <c r="D7" s="15"/>
      <c r="E7" s="15"/>
    </row>
    <row r="8" spans="1:5" x14ac:dyDescent="0.25">
      <c r="A8" s="4" t="s">
        <v>7</v>
      </c>
      <c r="B8" s="15"/>
      <c r="C8" s="15"/>
      <c r="D8" s="15"/>
      <c r="E8" s="15"/>
    </row>
    <row r="9" spans="1:5" x14ac:dyDescent="0.25">
      <c r="A9" s="4" t="s">
        <v>8</v>
      </c>
      <c r="B9" s="16"/>
      <c r="C9" s="16"/>
      <c r="D9" s="16"/>
      <c r="E9" s="16"/>
    </row>
    <row r="10" spans="1:5" x14ac:dyDescent="0.25">
      <c r="A10" s="4" t="s">
        <v>9</v>
      </c>
      <c r="B10" s="15"/>
      <c r="C10" s="15"/>
      <c r="D10" s="15"/>
      <c r="E10" s="15"/>
    </row>
    <row r="11" spans="1:5" x14ac:dyDescent="0.25">
      <c r="A11" s="4" t="s">
        <v>10</v>
      </c>
      <c r="B11" s="16"/>
      <c r="C11" s="16"/>
      <c r="D11" s="16"/>
      <c r="E11" s="16"/>
    </row>
    <row r="12" spans="1:5" x14ac:dyDescent="0.25">
      <c r="A12" s="4" t="s">
        <v>11</v>
      </c>
      <c r="B12" s="4" t="s">
        <v>12</v>
      </c>
      <c r="C12" s="4" t="s">
        <v>13</v>
      </c>
      <c r="D12" s="4" t="s">
        <v>14</v>
      </c>
      <c r="E12" s="4" t="s">
        <v>15</v>
      </c>
    </row>
    <row r="13" spans="1:5" x14ac:dyDescent="0.25">
      <c r="A13" s="5">
        <v>15</v>
      </c>
      <c r="B13" s="5">
        <v>1200</v>
      </c>
      <c r="C13" s="5">
        <v>180</v>
      </c>
      <c r="D13" s="5">
        <v>65</v>
      </c>
      <c r="E13" s="5">
        <v>110</v>
      </c>
    </row>
    <row r="14" spans="1:5" x14ac:dyDescent="0.25">
      <c r="A14" s="5">
        <v>15</v>
      </c>
      <c r="B14" s="5">
        <v>1500</v>
      </c>
      <c r="C14" s="5">
        <v>240</v>
      </c>
      <c r="D14" s="5">
        <v>65</v>
      </c>
      <c r="E14" s="5">
        <v>110</v>
      </c>
    </row>
    <row r="15" spans="1:5" x14ac:dyDescent="0.25">
      <c r="A15" s="5"/>
      <c r="B15" s="5"/>
      <c r="C15" s="5"/>
      <c r="D15" s="5"/>
      <c r="E15" s="5"/>
    </row>
    <row r="16" spans="1:5" x14ac:dyDescent="0.25">
      <c r="A16" s="4" t="s">
        <v>16</v>
      </c>
      <c r="B16" s="4" t="s">
        <v>17</v>
      </c>
      <c r="C16" s="4" t="s">
        <v>18</v>
      </c>
    </row>
    <row r="17" spans="1:3" x14ac:dyDescent="0.25">
      <c r="A17" s="4" t="s">
        <v>19</v>
      </c>
      <c r="B17" s="6">
        <v>0.30559999999999998</v>
      </c>
      <c r="C17" s="5">
        <v>250</v>
      </c>
    </row>
    <row r="18" spans="1:3" x14ac:dyDescent="0.25">
      <c r="A18" s="4" t="s">
        <v>20</v>
      </c>
      <c r="B18" s="6">
        <v>0.30170000000000002</v>
      </c>
      <c r="C18" s="5">
        <v>250</v>
      </c>
    </row>
    <row r="19" spans="1:3" x14ac:dyDescent="0.25">
      <c r="A19" s="4" t="s">
        <v>21</v>
      </c>
      <c r="B19" s="6">
        <v>0.30359999999999998</v>
      </c>
      <c r="C19" s="5">
        <v>250</v>
      </c>
    </row>
    <row r="20" spans="1:3" x14ac:dyDescent="0.25">
      <c r="A20" s="4" t="s">
        <v>22</v>
      </c>
      <c r="B20" s="6">
        <v>0.30230000000000001</v>
      </c>
      <c r="C20" s="5">
        <v>250</v>
      </c>
    </row>
    <row r="21" spans="1:3" x14ac:dyDescent="0.25">
      <c r="A21" s="4" t="s">
        <v>23</v>
      </c>
      <c r="B21" s="6">
        <v>0.30690000000000001</v>
      </c>
      <c r="C21" s="5">
        <v>250</v>
      </c>
    </row>
    <row r="22" spans="1:3" x14ac:dyDescent="0.25">
      <c r="A22" s="4" t="s">
        <v>24</v>
      </c>
      <c r="B22" s="6">
        <v>0.30570000000000003</v>
      </c>
      <c r="C22" s="5">
        <v>250</v>
      </c>
    </row>
  </sheetData>
  <mergeCells count="7">
    <mergeCell ref="B10:E10"/>
    <mergeCell ref="B11:E11"/>
    <mergeCell ref="A5:E5"/>
    <mergeCell ref="B6:E6"/>
    <mergeCell ref="B7:E7"/>
    <mergeCell ref="B8:E8"/>
    <mergeCell ref="B9:E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8"/>
  <sheetViews>
    <sheetView workbookViewId="0">
      <selection activeCell="A13" sqref="A13:C13"/>
    </sheetView>
  </sheetViews>
  <sheetFormatPr defaultRowHeight="15" x14ac:dyDescent="0.25"/>
  <cols>
    <col min="1" max="1" width="14.42578125" bestFit="1" customWidth="1"/>
    <col min="2" max="2" width="10.7109375" bestFit="1" customWidth="1"/>
    <col min="3" max="3" width="12.7109375" customWidth="1"/>
    <col min="4" max="4" width="8.140625" bestFit="1" customWidth="1"/>
    <col min="5" max="5" width="4.7109375" bestFit="1" customWidth="1"/>
  </cols>
  <sheetData>
    <row r="1" spans="1:9" x14ac:dyDescent="0.25">
      <c r="A1" s="1" t="s">
        <v>0</v>
      </c>
      <c r="B1" s="2">
        <v>46162</v>
      </c>
    </row>
    <row r="2" spans="1:9" x14ac:dyDescent="0.25">
      <c r="A2" s="1" t="s">
        <v>1</v>
      </c>
      <c r="B2" s="3" t="s">
        <v>2</v>
      </c>
    </row>
    <row r="5" spans="1:9" x14ac:dyDescent="0.25">
      <c r="A5" s="17" t="s">
        <v>25</v>
      </c>
      <c r="B5" s="17"/>
    </row>
    <row r="6" spans="1:9" x14ac:dyDescent="0.25">
      <c r="A6" s="4" t="s">
        <v>26</v>
      </c>
      <c r="B6" s="4" t="s">
        <v>27</v>
      </c>
      <c r="C6" s="4" t="s">
        <v>28</v>
      </c>
      <c r="D6" s="4" t="s">
        <v>29</v>
      </c>
      <c r="E6" s="4" t="s">
        <v>30</v>
      </c>
    </row>
    <row r="7" spans="1:9" x14ac:dyDescent="0.25">
      <c r="A7" s="4" t="s">
        <v>19</v>
      </c>
      <c r="B7" s="5" t="str">
        <f>"50/1"</f>
        <v>50/1</v>
      </c>
      <c r="C7" s="7">
        <v>1.1575</v>
      </c>
      <c r="D7" s="8">
        <f>((C7)*(H7)*(I7))/(G7*1)</f>
        <v>47345.386125654455</v>
      </c>
      <c r="E7" s="8">
        <f>D7/10000</f>
        <v>4.7345386125654452</v>
      </c>
      <c r="G7" s="9">
        <f>digestion_page!B17</f>
        <v>0.30559999999999998</v>
      </c>
      <c r="H7" s="9">
        <f>digestion_page!C17</f>
        <v>250</v>
      </c>
      <c r="I7" s="9">
        <f>(LEFT(B7,FIND("/",B7)-1)/RIGHT(B7,LEN(B7)-FIND("/", B7)))</f>
        <v>50</v>
      </c>
    </row>
    <row r="8" spans="1:9" x14ac:dyDescent="0.25">
      <c r="A8" s="4" t="s">
        <v>20</v>
      </c>
      <c r="B8" s="5" t="str">
        <f>"50/1"</f>
        <v>50/1</v>
      </c>
      <c r="C8" s="7">
        <v>1.2275</v>
      </c>
      <c r="D8" s="8">
        <f>((C8)*(H8)*(I8))/(G8*1)</f>
        <v>50857.640039774604</v>
      </c>
      <c r="E8" s="8">
        <f>D8/10000</f>
        <v>5.0857640039774603</v>
      </c>
      <c r="G8" s="9">
        <f>digestion_page!B18</f>
        <v>0.30170000000000002</v>
      </c>
      <c r="H8" s="9">
        <f>digestion_page!C18</f>
        <v>250</v>
      </c>
      <c r="I8" s="9">
        <f>(LEFT(B8,FIND("/",B8)-1)/RIGHT(B8,LEN(B8)-FIND("/", B8)))</f>
        <v>50</v>
      </c>
    </row>
    <row r="10" spans="1:9" x14ac:dyDescent="0.25">
      <c r="A10" s="18" t="s">
        <v>31</v>
      </c>
      <c r="B10" s="18"/>
      <c r="C10" s="11">
        <f>AVERAGE(D7:D8)</f>
        <v>49101.513082714533</v>
      </c>
    </row>
    <row r="11" spans="1:9" x14ac:dyDescent="0.25">
      <c r="A11" s="18" t="s">
        <v>31</v>
      </c>
      <c r="B11" s="18"/>
      <c r="C11" s="12">
        <f>AVERAGE(E7:E8)</f>
        <v>4.9101513082714527</v>
      </c>
    </row>
    <row r="12" spans="1:9" x14ac:dyDescent="0.25">
      <c r="A12" s="18" t="s">
        <v>32</v>
      </c>
      <c r="B12" s="18"/>
      <c r="C12" s="3">
        <v>1.399</v>
      </c>
    </row>
    <row r="13" spans="1:9" x14ac:dyDescent="0.25">
      <c r="A13" s="21" t="s">
        <v>33</v>
      </c>
      <c r="B13" s="21"/>
      <c r="C13" s="22">
        <f>AVERAGE(E7:E8)*(C12)</f>
        <v>6.8693016802717626</v>
      </c>
    </row>
    <row r="14" spans="1:9" x14ac:dyDescent="0.25">
      <c r="A14" s="18" t="s">
        <v>34</v>
      </c>
      <c r="B14" s="18"/>
      <c r="C14" s="19"/>
      <c r="D14" s="19"/>
      <c r="E14" s="19"/>
      <c r="F14" s="19"/>
    </row>
    <row r="16" spans="1:9" x14ac:dyDescent="0.25">
      <c r="B16" s="10" t="s">
        <v>35</v>
      </c>
      <c r="C16" s="20"/>
      <c r="D16" s="20"/>
      <c r="E16" s="20"/>
      <c r="F16" s="20"/>
    </row>
    <row r="17" spans="3:6" x14ac:dyDescent="0.25">
      <c r="C17" s="20"/>
      <c r="D17" s="20"/>
      <c r="E17" s="20"/>
      <c r="F17" s="20"/>
    </row>
    <row r="18" spans="3:6" x14ac:dyDescent="0.25">
      <c r="C18" s="20"/>
      <c r="D18" s="20"/>
      <c r="E18" s="20"/>
      <c r="F18" s="20"/>
    </row>
  </sheetData>
  <mergeCells count="8">
    <mergeCell ref="A14:B14"/>
    <mergeCell ref="C14:F14"/>
    <mergeCell ref="C16:F18"/>
    <mergeCell ref="A5:B5"/>
    <mergeCell ref="A10:B10"/>
    <mergeCell ref="A11:B11"/>
    <mergeCell ref="A12:B12"/>
    <mergeCell ref="A13:B13"/>
  </mergeCells>
  <conditionalFormatting sqref="C14:F14">
    <cfRule type="containsBlanks" dxfId="2" priority="1">
      <formula>LEN(TRIM(C14))=0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8"/>
  <sheetViews>
    <sheetView workbookViewId="0">
      <selection activeCell="A13" sqref="A13:C13"/>
    </sheetView>
  </sheetViews>
  <sheetFormatPr defaultRowHeight="15" x14ac:dyDescent="0.25"/>
  <cols>
    <col min="1" max="1" width="14.42578125" bestFit="1" customWidth="1"/>
    <col min="2" max="2" width="10.7109375" bestFit="1" customWidth="1"/>
    <col min="3" max="3" width="12.7109375" customWidth="1"/>
    <col min="4" max="4" width="8.140625" bestFit="1" customWidth="1"/>
    <col min="5" max="5" width="4.7109375" bestFit="1" customWidth="1"/>
  </cols>
  <sheetData>
    <row r="1" spans="1:9" x14ac:dyDescent="0.25">
      <c r="A1" s="1" t="s">
        <v>0</v>
      </c>
      <c r="B1" s="2">
        <v>46162</v>
      </c>
    </row>
    <row r="2" spans="1:9" x14ac:dyDescent="0.25">
      <c r="A2" s="1" t="s">
        <v>1</v>
      </c>
      <c r="B2" s="3" t="s">
        <v>2</v>
      </c>
    </row>
    <row r="5" spans="1:9" x14ac:dyDescent="0.25">
      <c r="A5" s="17" t="s">
        <v>25</v>
      </c>
      <c r="B5" s="17"/>
    </row>
    <row r="6" spans="1:9" x14ac:dyDescent="0.25">
      <c r="A6" s="4" t="s">
        <v>26</v>
      </c>
      <c r="B6" s="4" t="s">
        <v>27</v>
      </c>
      <c r="C6" s="4" t="s">
        <v>28</v>
      </c>
      <c r="D6" s="4" t="s">
        <v>29</v>
      </c>
      <c r="E6" s="4" t="s">
        <v>30</v>
      </c>
    </row>
    <row r="7" spans="1:9" x14ac:dyDescent="0.25">
      <c r="A7" s="4" t="s">
        <v>21</v>
      </c>
      <c r="B7" s="5" t="str">
        <f>"50/1"</f>
        <v>50/1</v>
      </c>
      <c r="C7" s="7">
        <v>2.3450000000000002</v>
      </c>
      <c r="D7" s="8">
        <f>((C7)*(H7)*(I7))/(G7*1)</f>
        <v>96549.736495388672</v>
      </c>
      <c r="E7" s="8">
        <f>D7/10000</f>
        <v>9.6549736495388672</v>
      </c>
      <c r="G7" s="9">
        <f>digestion_page!B19</f>
        <v>0.30359999999999998</v>
      </c>
      <c r="H7" s="9">
        <f>digestion_page!C19</f>
        <v>250</v>
      </c>
      <c r="I7" s="9">
        <f>(LEFT(B7,FIND("/",B7)-1)/RIGHT(B7,LEN(B7)-FIND("/", B7)))</f>
        <v>50</v>
      </c>
    </row>
    <row r="8" spans="1:9" x14ac:dyDescent="0.25">
      <c r="A8" s="4" t="s">
        <v>22</v>
      </c>
      <c r="B8" s="5" t="str">
        <f>"50/1"</f>
        <v>50/1</v>
      </c>
      <c r="C8" s="7">
        <v>2.2725</v>
      </c>
      <c r="D8" s="8">
        <f>((C8)*(H8)*(I8))/(G8*1)</f>
        <v>93967.085676480317</v>
      </c>
      <c r="E8" s="8">
        <f>D8/10000</f>
        <v>9.396708567648032</v>
      </c>
      <c r="G8" s="9">
        <f>digestion_page!B20</f>
        <v>0.30230000000000001</v>
      </c>
      <c r="H8" s="9">
        <f>digestion_page!C20</f>
        <v>250</v>
      </c>
      <c r="I8" s="9">
        <f>(LEFT(B8,FIND("/",B8)-1)/RIGHT(B8,LEN(B8)-FIND("/", B8)))</f>
        <v>50</v>
      </c>
    </row>
    <row r="10" spans="1:9" x14ac:dyDescent="0.25">
      <c r="A10" s="18" t="s">
        <v>31</v>
      </c>
      <c r="B10" s="18"/>
      <c r="C10" s="11">
        <f>AVERAGE(D7:D8)</f>
        <v>95258.411085934495</v>
      </c>
    </row>
    <row r="11" spans="1:9" x14ac:dyDescent="0.25">
      <c r="A11" s="18" t="s">
        <v>31</v>
      </c>
      <c r="B11" s="18"/>
      <c r="C11" s="12">
        <f>AVERAGE(E7:E8)</f>
        <v>9.5258411085934505</v>
      </c>
    </row>
    <row r="12" spans="1:9" x14ac:dyDescent="0.25">
      <c r="A12" s="18" t="s">
        <v>32</v>
      </c>
      <c r="B12" s="18"/>
      <c r="C12" s="3">
        <v>1.399</v>
      </c>
    </row>
    <row r="13" spans="1:9" x14ac:dyDescent="0.25">
      <c r="A13" s="21" t="s">
        <v>33</v>
      </c>
      <c r="B13" s="21"/>
      <c r="C13" s="22">
        <f>AVERAGE(E7:E8)*(C12)</f>
        <v>13.326651710922237</v>
      </c>
    </row>
    <row r="14" spans="1:9" x14ac:dyDescent="0.25">
      <c r="A14" s="18" t="s">
        <v>34</v>
      </c>
      <c r="B14" s="18"/>
      <c r="C14" s="19"/>
      <c r="D14" s="19"/>
      <c r="E14" s="19"/>
      <c r="F14" s="19"/>
    </row>
    <row r="16" spans="1:9" x14ac:dyDescent="0.25">
      <c r="B16" s="10" t="s">
        <v>35</v>
      </c>
      <c r="C16" s="20"/>
      <c r="D16" s="20"/>
      <c r="E16" s="20"/>
      <c r="F16" s="20"/>
    </row>
    <row r="17" spans="3:6" x14ac:dyDescent="0.25">
      <c r="C17" s="20"/>
      <c r="D17" s="20"/>
      <c r="E17" s="20"/>
      <c r="F17" s="20"/>
    </row>
    <row r="18" spans="3:6" x14ac:dyDescent="0.25">
      <c r="C18" s="20"/>
      <c r="D18" s="20"/>
      <c r="E18" s="20"/>
      <c r="F18" s="20"/>
    </row>
  </sheetData>
  <mergeCells count="8">
    <mergeCell ref="A14:B14"/>
    <mergeCell ref="C14:F14"/>
    <mergeCell ref="C16:F18"/>
    <mergeCell ref="A5:B5"/>
    <mergeCell ref="A10:B10"/>
    <mergeCell ref="A11:B11"/>
    <mergeCell ref="A12:B12"/>
    <mergeCell ref="A13:B13"/>
  </mergeCells>
  <conditionalFormatting sqref="C14:F14">
    <cfRule type="containsBlanks" dxfId="1" priority="1">
      <formula>LEN(TRIM(C14))=0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8"/>
  <sheetViews>
    <sheetView tabSelected="1" workbookViewId="0">
      <selection activeCell="C22" sqref="C22"/>
    </sheetView>
  </sheetViews>
  <sheetFormatPr defaultRowHeight="15" x14ac:dyDescent="0.25"/>
  <cols>
    <col min="1" max="1" width="14.42578125" bestFit="1" customWidth="1"/>
    <col min="2" max="2" width="10.7109375" bestFit="1" customWidth="1"/>
    <col min="3" max="3" width="12.7109375" customWidth="1"/>
    <col min="4" max="4" width="8.140625" bestFit="1" customWidth="1"/>
    <col min="5" max="5" width="4.7109375" bestFit="1" customWidth="1"/>
  </cols>
  <sheetData>
    <row r="1" spans="1:9" x14ac:dyDescent="0.25">
      <c r="A1" s="1" t="s">
        <v>0</v>
      </c>
      <c r="B1" s="2">
        <v>46162</v>
      </c>
    </row>
    <row r="2" spans="1:9" x14ac:dyDescent="0.25">
      <c r="A2" s="1" t="s">
        <v>1</v>
      </c>
      <c r="B2" s="3" t="s">
        <v>2</v>
      </c>
    </row>
    <row r="5" spans="1:9" x14ac:dyDescent="0.25">
      <c r="A5" s="17" t="s">
        <v>25</v>
      </c>
      <c r="B5" s="17"/>
    </row>
    <row r="6" spans="1:9" x14ac:dyDescent="0.25">
      <c r="A6" s="4" t="s">
        <v>26</v>
      </c>
      <c r="B6" s="4" t="s">
        <v>27</v>
      </c>
      <c r="C6" s="4" t="s">
        <v>28</v>
      </c>
      <c r="D6" s="4" t="s">
        <v>29</v>
      </c>
      <c r="E6" s="4" t="s">
        <v>30</v>
      </c>
    </row>
    <row r="7" spans="1:9" x14ac:dyDescent="0.25">
      <c r="A7" s="4" t="s">
        <v>23</v>
      </c>
      <c r="B7" s="5" t="str">
        <f>"100/1"</f>
        <v>100/1</v>
      </c>
      <c r="C7" s="7">
        <v>1.69</v>
      </c>
      <c r="D7" s="8">
        <f>((C7)*(H7)*(I7))/(G7*1)</f>
        <v>137666.99250570219</v>
      </c>
      <c r="E7" s="8">
        <f>D7/10000</f>
        <v>13.76669925057022</v>
      </c>
      <c r="G7" s="9">
        <f>digestion_page!B21</f>
        <v>0.30690000000000001</v>
      </c>
      <c r="H7" s="9">
        <f>digestion_page!C21</f>
        <v>250</v>
      </c>
      <c r="I7" s="9">
        <f>(LEFT(B7,FIND("/",B7)-1)/RIGHT(B7,LEN(B7)-FIND("/", B7)))</f>
        <v>100</v>
      </c>
    </row>
    <row r="8" spans="1:9" x14ac:dyDescent="0.25">
      <c r="A8" s="4" t="s">
        <v>24</v>
      </c>
      <c r="B8" s="5" t="str">
        <f>"100/1"</f>
        <v>100/1</v>
      </c>
      <c r="C8" s="7">
        <v>1.69</v>
      </c>
      <c r="D8" s="8">
        <f>((C8)*(H8)*(I8))/(G8*1)</f>
        <v>138207.39286882564</v>
      </c>
      <c r="E8" s="8">
        <f>D8/10000</f>
        <v>13.820739286882564</v>
      </c>
      <c r="G8" s="9">
        <f>digestion_page!B22</f>
        <v>0.30570000000000003</v>
      </c>
      <c r="H8" s="9">
        <f>digestion_page!C22</f>
        <v>250</v>
      </c>
      <c r="I8" s="9">
        <f>(LEFT(B8,FIND("/",B8)-1)/RIGHT(B8,LEN(B8)-FIND("/", B8)))</f>
        <v>100</v>
      </c>
    </row>
    <row r="10" spans="1:9" x14ac:dyDescent="0.25">
      <c r="A10" s="18" t="s">
        <v>31</v>
      </c>
      <c r="B10" s="18"/>
      <c r="C10" s="11">
        <f>AVERAGE(D7:D8)</f>
        <v>137937.19268726392</v>
      </c>
    </row>
    <row r="11" spans="1:9" x14ac:dyDescent="0.25">
      <c r="A11" s="18" t="s">
        <v>31</v>
      </c>
      <c r="B11" s="18"/>
      <c r="C11" s="12">
        <f>AVERAGE(E7:E8)</f>
        <v>13.793719268726392</v>
      </c>
    </row>
    <row r="12" spans="1:9" x14ac:dyDescent="0.25">
      <c r="A12" s="18" t="s">
        <v>32</v>
      </c>
      <c r="B12" s="18"/>
      <c r="C12" s="3">
        <v>1.399</v>
      </c>
    </row>
    <row r="13" spans="1:9" x14ac:dyDescent="0.25">
      <c r="A13" s="21" t="s">
        <v>33</v>
      </c>
      <c r="B13" s="21"/>
      <c r="C13" s="22">
        <f>AVERAGE(E7:E8)*(C12)</f>
        <v>19.297413256948222</v>
      </c>
    </row>
    <row r="14" spans="1:9" x14ac:dyDescent="0.25">
      <c r="A14" s="18" t="s">
        <v>34</v>
      </c>
      <c r="B14" s="18"/>
      <c r="C14" s="19"/>
      <c r="D14" s="19"/>
      <c r="E14" s="19"/>
      <c r="F14" s="19"/>
    </row>
    <row r="16" spans="1:9" x14ac:dyDescent="0.25">
      <c r="B16" s="10" t="s">
        <v>35</v>
      </c>
      <c r="C16" s="20"/>
      <c r="D16" s="20"/>
      <c r="E16" s="20"/>
      <c r="F16" s="20"/>
    </row>
    <row r="17" spans="3:6" x14ac:dyDescent="0.25">
      <c r="C17" s="20"/>
      <c r="D17" s="20"/>
      <c r="E17" s="20"/>
      <c r="F17" s="20"/>
    </row>
    <row r="18" spans="3:6" x14ac:dyDescent="0.25">
      <c r="C18" s="20"/>
      <c r="D18" s="20"/>
      <c r="E18" s="20"/>
      <c r="F18" s="20"/>
    </row>
  </sheetData>
  <mergeCells count="8">
    <mergeCell ref="A14:B14"/>
    <mergeCell ref="C14:F14"/>
    <mergeCell ref="C16:F18"/>
    <mergeCell ref="A5:B5"/>
    <mergeCell ref="A10:B10"/>
    <mergeCell ref="A11:B11"/>
    <mergeCell ref="A12:B12"/>
    <mergeCell ref="A13:B13"/>
  </mergeCells>
  <conditionalFormatting sqref="C14:F14">
    <cfRule type="containsBlanks" dxfId="0" priority="1">
      <formula>LEN(TRIM(C14))=0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23"/>
  <sheetViews>
    <sheetView workbookViewId="0"/>
  </sheetViews>
  <sheetFormatPr defaultRowHeight="15" x14ac:dyDescent="0.25"/>
  <cols>
    <col min="1" max="1" width="46.140625" bestFit="1" customWidth="1"/>
  </cols>
  <sheetData>
    <row r="1" spans="1:1" x14ac:dyDescent="0.25">
      <c r="A1" s="13" t="s">
        <v>36</v>
      </c>
    </row>
    <row r="2" spans="1:1" x14ac:dyDescent="0.25">
      <c r="A2" s="13" t="s">
        <v>37</v>
      </c>
    </row>
    <row r="3" spans="1:1" x14ac:dyDescent="0.25">
      <c r="A3" s="13" t="s">
        <v>38</v>
      </c>
    </row>
    <row r="5" spans="1:1" x14ac:dyDescent="0.25">
      <c r="A5" s="13" t="s">
        <v>39</v>
      </c>
    </row>
    <row r="7" spans="1:1" x14ac:dyDescent="0.25">
      <c r="A7" s="13" t="s">
        <v>40</v>
      </c>
    </row>
    <row r="9" spans="1:1" x14ac:dyDescent="0.25">
      <c r="A9" s="13" t="s">
        <v>41</v>
      </c>
    </row>
    <row r="11" spans="1:1" x14ac:dyDescent="0.25">
      <c r="A11" s="13" t="s">
        <v>42</v>
      </c>
    </row>
    <row r="13" spans="1:1" x14ac:dyDescent="0.25">
      <c r="A13" s="13" t="s">
        <v>43</v>
      </c>
    </row>
    <row r="15" spans="1:1" x14ac:dyDescent="0.25">
      <c r="A15" s="13" t="s">
        <v>44</v>
      </c>
    </row>
    <row r="17" spans="1:1" x14ac:dyDescent="0.25">
      <c r="A17" s="13" t="s">
        <v>45</v>
      </c>
    </row>
    <row r="19" spans="1:1" x14ac:dyDescent="0.25">
      <c r="A19" s="13" t="s">
        <v>46</v>
      </c>
    </row>
    <row r="21" spans="1:1" x14ac:dyDescent="0.25">
      <c r="A21" s="13" t="s">
        <v>47</v>
      </c>
    </row>
    <row r="23" spans="1:1" x14ac:dyDescent="0.25">
      <c r="A23" s="13" t="s">
        <v>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digestion_page</vt:lpstr>
      <vt:lpstr>200128032</vt:lpstr>
      <vt:lpstr>200128033</vt:lpstr>
      <vt:lpstr>200128034</vt:lpstr>
      <vt:lpstr>formula_page</vt:lpstr>
    </vt:vector>
  </TitlesOfParts>
  <Company>Clariant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Archemetre</dc:creator>
  <dc:description>Created with Python, XlsxWriter</dc:description>
  <cp:lastModifiedBy>Carl Archemetre</cp:lastModifiedBy>
  <dcterms:created xsi:type="dcterms:W3CDTF">2026-05-20T12:58:07Z</dcterms:created>
  <dcterms:modified xsi:type="dcterms:W3CDTF">2026-05-20T13:01:42Z</dcterms:modified>
</cp:coreProperties>
</file>