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dist\"/>
    </mc:Choice>
  </mc:AlternateContent>
  <xr:revisionPtr revIDLastSave="0" documentId="13_ncr:1_{1498C303-9132-43CE-B1CA-06378BF76ED3}" xr6:coauthVersionLast="47" xr6:coauthVersionMax="47" xr10:uidLastSave="{00000000-0000-0000-0000-000000000000}"/>
  <bookViews>
    <workbookView xWindow="-23148" yWindow="-108" windowWidth="23256" windowHeight="12456" activeTab="1" xr2:uid="{00000000-000D-0000-FFFF-FFFF00000000}"/>
  </bookViews>
  <sheets>
    <sheet name="digestion_page" sheetId="1" r:id="rId1"/>
    <sheet name="200120001" sheetId="2" r:id="rId2"/>
    <sheet name="200120002" sheetId="3" r:id="rId3"/>
    <sheet name="200120003" sheetId="4" r:id="rId4"/>
    <sheet name="200120004" sheetId="5" r:id="rId5"/>
    <sheet name="formula_pa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G33" i="5"/>
  <c r="B33" i="5"/>
  <c r="I33" i="5" s="1"/>
  <c r="H32" i="5"/>
  <c r="G32" i="5"/>
  <c r="B32" i="5"/>
  <c r="I32" i="5" s="1"/>
  <c r="H31" i="5"/>
  <c r="G31" i="5"/>
  <c r="B31" i="5"/>
  <c r="I31" i="5" s="1"/>
  <c r="H23" i="5"/>
  <c r="G23" i="5"/>
  <c r="B23" i="5"/>
  <c r="I23" i="5" s="1"/>
  <c r="H22" i="5"/>
  <c r="G22" i="5"/>
  <c r="B22" i="5"/>
  <c r="I22" i="5" s="1"/>
  <c r="H21" i="5"/>
  <c r="G21" i="5"/>
  <c r="B21" i="5"/>
  <c r="I21" i="5" s="1"/>
  <c r="H13" i="5"/>
  <c r="G13" i="5"/>
  <c r="B13" i="5"/>
  <c r="I13" i="5" s="1"/>
  <c r="H12" i="5"/>
  <c r="G12" i="5"/>
  <c r="B12" i="5"/>
  <c r="I12" i="5" s="1"/>
  <c r="H11" i="5"/>
  <c r="G11" i="5"/>
  <c r="B11" i="5"/>
  <c r="I11" i="5" s="1"/>
  <c r="E7" i="5"/>
  <c r="F7" i="5" s="1"/>
  <c r="D6" i="5"/>
  <c r="H23" i="4"/>
  <c r="G23" i="4"/>
  <c r="B23" i="4"/>
  <c r="I23" i="4" s="1"/>
  <c r="I22" i="4"/>
  <c r="D22" i="4" s="1"/>
  <c r="E22" i="4" s="1"/>
  <c r="H22" i="4"/>
  <c r="G22" i="4"/>
  <c r="B22" i="4"/>
  <c r="H21" i="4"/>
  <c r="G21" i="4"/>
  <c r="B21" i="4"/>
  <c r="I21" i="4" s="1"/>
  <c r="H13" i="4"/>
  <c r="D13" i="4" s="1"/>
  <c r="E13" i="4" s="1"/>
  <c r="G13" i="4"/>
  <c r="B13" i="4"/>
  <c r="I13" i="4" s="1"/>
  <c r="I12" i="4"/>
  <c r="D12" i="4" s="1"/>
  <c r="E12" i="4" s="1"/>
  <c r="H12" i="4"/>
  <c r="G12" i="4"/>
  <c r="B12" i="4"/>
  <c r="H11" i="4"/>
  <c r="D11" i="4" s="1"/>
  <c r="G11" i="4"/>
  <c r="B11" i="4"/>
  <c r="I11" i="4" s="1"/>
  <c r="F7" i="4"/>
  <c r="E7" i="4"/>
  <c r="D6" i="4"/>
  <c r="H23" i="3"/>
  <c r="G23" i="3"/>
  <c r="B23" i="3"/>
  <c r="I23" i="3" s="1"/>
  <c r="H22" i="3"/>
  <c r="D22" i="3" s="1"/>
  <c r="E22" i="3" s="1"/>
  <c r="G22" i="3"/>
  <c r="B22" i="3"/>
  <c r="I22" i="3" s="1"/>
  <c r="H21" i="3"/>
  <c r="G21" i="3"/>
  <c r="B21" i="3"/>
  <c r="I21" i="3" s="1"/>
  <c r="H13" i="3"/>
  <c r="G13" i="3"/>
  <c r="B13" i="3"/>
  <c r="I13" i="3" s="1"/>
  <c r="H12" i="3"/>
  <c r="G12" i="3"/>
  <c r="B12" i="3"/>
  <c r="I12" i="3" s="1"/>
  <c r="H11" i="3"/>
  <c r="D11" i="3" s="1"/>
  <c r="G11" i="3"/>
  <c r="B11" i="3"/>
  <c r="I11" i="3" s="1"/>
  <c r="E7" i="3"/>
  <c r="F7" i="3" s="1"/>
  <c r="D6" i="3"/>
  <c r="I23" i="2"/>
  <c r="H23" i="2"/>
  <c r="G23" i="2"/>
  <c r="B23" i="2"/>
  <c r="H22" i="2"/>
  <c r="G22" i="2"/>
  <c r="B22" i="2"/>
  <c r="I22" i="2" s="1"/>
  <c r="I21" i="2"/>
  <c r="H21" i="2"/>
  <c r="G21" i="2"/>
  <c r="B21" i="2"/>
  <c r="I13" i="2"/>
  <c r="H13" i="2"/>
  <c r="G13" i="2"/>
  <c r="B13" i="2"/>
  <c r="H12" i="2"/>
  <c r="G12" i="2"/>
  <c r="B12" i="2"/>
  <c r="I12" i="2" s="1"/>
  <c r="I11" i="2"/>
  <c r="D11" i="2" s="1"/>
  <c r="H11" i="2"/>
  <c r="G11" i="2"/>
  <c r="B11" i="2"/>
  <c r="E7" i="2"/>
  <c r="F7" i="2" s="1"/>
  <c r="D13" i="2" s="1"/>
  <c r="E13" i="2" s="1"/>
  <c r="D6" i="2"/>
  <c r="C15" i="2" l="1"/>
  <c r="E11" i="2"/>
  <c r="C16" i="2" s="1"/>
  <c r="D12" i="2"/>
  <c r="E12" i="2" s="1"/>
  <c r="D21" i="2"/>
  <c r="C15" i="3"/>
  <c r="E11" i="3"/>
  <c r="C16" i="3" s="1"/>
  <c r="D21" i="5"/>
  <c r="D32" i="5"/>
  <c r="E32" i="5" s="1"/>
  <c r="D21" i="3"/>
  <c r="C15" i="4"/>
  <c r="E11" i="4"/>
  <c r="C16" i="4" s="1"/>
  <c r="D13" i="5"/>
  <c r="E13" i="5" s="1"/>
  <c r="D31" i="5"/>
  <c r="D13" i="3"/>
  <c r="E13" i="3" s="1"/>
  <c r="D23" i="4"/>
  <c r="E23" i="4" s="1"/>
  <c r="D12" i="5"/>
  <c r="E12" i="5" s="1"/>
  <c r="D23" i="5"/>
  <c r="E23" i="5" s="1"/>
  <c r="D22" i="2"/>
  <c r="E22" i="2" s="1"/>
  <c r="D23" i="2"/>
  <c r="E23" i="2" s="1"/>
  <c r="D12" i="3"/>
  <c r="E12" i="3" s="1"/>
  <c r="D23" i="3"/>
  <c r="E23" i="3" s="1"/>
  <c r="D21" i="4"/>
  <c r="D11" i="5"/>
  <c r="D22" i="5"/>
  <c r="E22" i="5" s="1"/>
  <c r="D33" i="5"/>
  <c r="E33" i="5" s="1"/>
  <c r="C25" i="2" l="1"/>
  <c r="E21" i="2"/>
  <c r="C26" i="2" s="1"/>
  <c r="C15" i="5"/>
  <c r="E11" i="5"/>
  <c r="C16" i="5" s="1"/>
  <c r="C25" i="5"/>
  <c r="E21" i="5"/>
  <c r="C26" i="5" s="1"/>
  <c r="C25" i="4"/>
  <c r="E21" i="4"/>
  <c r="C26" i="4" s="1"/>
  <c r="C35" i="5"/>
  <c r="E31" i="5"/>
  <c r="C36" i="5" s="1"/>
  <c r="C25" i="3"/>
  <c r="E21" i="3"/>
  <c r="C26" i="3" s="1"/>
</calcChain>
</file>

<file path=xl/sharedStrings.xml><?xml version="1.0" encoding="utf-8"?>
<sst xmlns="http://schemas.openxmlformats.org/spreadsheetml/2006/main" count="205" uniqueCount="65">
  <si>
    <t>Date:</t>
  </si>
  <si>
    <t>Request ID:</t>
  </si>
  <si>
    <t>100048600</t>
  </si>
  <si>
    <t>Katanax</t>
  </si>
  <si>
    <t>Analyte(s)</t>
  </si>
  <si>
    <t>Al, Ca</t>
  </si>
  <si>
    <t>SOP#</t>
  </si>
  <si>
    <t>Acid Cocktail</t>
  </si>
  <si>
    <t>sample(s)</t>
  </si>
  <si>
    <t>weight (g)</t>
  </si>
  <si>
    <t>volume (mL)</t>
  </si>
  <si>
    <t>200120001_1</t>
  </si>
  <si>
    <t>200120001_2</t>
  </si>
  <si>
    <t>200120001_3</t>
  </si>
  <si>
    <t>200120002_1</t>
  </si>
  <si>
    <t>200120002_2</t>
  </si>
  <si>
    <t>200120002_3</t>
  </si>
  <si>
    <t>200120003_1</t>
  </si>
  <si>
    <t>200120003_2</t>
  </si>
  <si>
    <t>200120003_3</t>
  </si>
  <si>
    <t>200120004_1</t>
  </si>
  <si>
    <t>200120004_2</t>
  </si>
  <si>
    <t>200120004_3</t>
  </si>
  <si>
    <t>Ti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</si>
  <si>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</si>
  <si>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</si>
  <si>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</si>
  <si>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</si>
  <si>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</si>
  <si>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</si>
  <si>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</si>
  <si>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Al ICP analysis</t>
  </si>
  <si>
    <t>Dilution</t>
  </si>
  <si>
    <t>conc. [mg/L]</t>
  </si>
  <si>
    <t>Al_ppm [dried]</t>
  </si>
  <si>
    <t>%Al [dried]</t>
  </si>
  <si>
    <t>al result:</t>
  </si>
  <si>
    <t>al lot:</t>
  </si>
  <si>
    <t>Ca ICP analysis</t>
  </si>
  <si>
    <t>Ca_ppm [dried]</t>
  </si>
  <si>
    <t>%Ca [dried]</t>
  </si>
  <si>
    <t>ca result:</t>
  </si>
  <si>
    <t>ca lot:</t>
  </si>
  <si>
    <t>Manufacturer: Assurance, 27-171ALT exp: 2026-07-30</t>
  </si>
  <si>
    <t>Manufacturer: Assurance, 28-35CAY exp: 2026-10-30</t>
  </si>
  <si>
    <t>Note(s):</t>
  </si>
  <si>
    <t>200120002</t>
  </si>
  <si>
    <t>200120003</t>
  </si>
  <si>
    <t>200120004</t>
  </si>
  <si>
    <t>Ti ICP analysis</t>
  </si>
  <si>
    <t>Ti_ppm [dried]</t>
  </si>
  <si>
    <t>%Ti [dried]</t>
  </si>
  <si>
    <t>ti result:</t>
  </si>
  <si>
    <t>ti lot:</t>
  </si>
  <si>
    <t>Manufacturer: Assurance, 27-189TIT exp: 2026-08-30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</si>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</sst>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3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workbookViewId="0"/>
  </sheetViews>
  <sheetFormatPr defaultRowHeight="14.4" x14ac:dyDescent="0.3"/>
  <cols>
    <col min="1" max="1" width="12.6640625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2">
        <v>46211</v>
      </c>
    </row>
    <row r="2" spans="1:3" x14ac:dyDescent="0.3">
      <c r="A2" s="1" t="s">
        <v>1</v>
      </c>
      <c r="B2" s="3" t="s">
        <v>2</v>
      </c>
    </row>
    <row r="5" spans="1:3" x14ac:dyDescent="0.3">
      <c r="A5" s="15" t="s">
        <v>3</v>
      </c>
      <c r="B5" s="15"/>
      <c r="C5" s="15"/>
    </row>
    <row r="6" spans="1:3" x14ac:dyDescent="0.3">
      <c r="A6" s="4" t="s">
        <v>4</v>
      </c>
      <c r="B6" s="16" t="s">
        <v>5</v>
      </c>
      <c r="C6" s="16"/>
    </row>
    <row r="7" spans="1:3" x14ac:dyDescent="0.3">
      <c r="A7" s="4" t="s">
        <v>6</v>
      </c>
      <c r="B7" s="16"/>
      <c r="C7" s="16"/>
    </row>
    <row r="8" spans="1:3" x14ac:dyDescent="0.3">
      <c r="A8" s="4" t="s">
        <v>7</v>
      </c>
      <c r="B8" s="16"/>
      <c r="C8" s="16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>
        <v>250</v>
      </c>
    </row>
    <row r="11" spans="1:3" x14ac:dyDescent="0.3">
      <c r="A11" s="4" t="s">
        <v>12</v>
      </c>
      <c r="B11" s="6"/>
      <c r="C11" s="5">
        <v>250</v>
      </c>
    </row>
    <row r="12" spans="1:3" x14ac:dyDescent="0.3">
      <c r="A12" s="4" t="s">
        <v>13</v>
      </c>
      <c r="B12" s="6"/>
      <c r="C12" s="5">
        <v>250</v>
      </c>
    </row>
    <row r="13" spans="1:3" x14ac:dyDescent="0.3">
      <c r="A13" s="4" t="s">
        <v>14</v>
      </c>
      <c r="B13" s="6"/>
      <c r="C13" s="5">
        <v>250</v>
      </c>
    </row>
    <row r="14" spans="1:3" x14ac:dyDescent="0.3">
      <c r="A14" s="4" t="s">
        <v>15</v>
      </c>
      <c r="B14" s="6"/>
      <c r="C14" s="5">
        <v>250</v>
      </c>
    </row>
    <row r="15" spans="1:3" x14ac:dyDescent="0.3">
      <c r="A15" s="4" t="s">
        <v>16</v>
      </c>
      <c r="B15" s="6"/>
      <c r="C15" s="5">
        <v>250</v>
      </c>
    </row>
    <row r="16" spans="1:3" x14ac:dyDescent="0.3">
      <c r="A16" s="4" t="s">
        <v>17</v>
      </c>
      <c r="B16" s="6"/>
      <c r="C16" s="5">
        <v>250</v>
      </c>
    </row>
    <row r="17" spans="1:3" x14ac:dyDescent="0.3">
      <c r="A17" s="4" t="s">
        <v>18</v>
      </c>
      <c r="B17" s="6"/>
      <c r="C17" s="5">
        <v>250</v>
      </c>
    </row>
    <row r="18" spans="1:3" x14ac:dyDescent="0.3">
      <c r="A18" s="4" t="s">
        <v>19</v>
      </c>
      <c r="B18" s="6"/>
      <c r="C18" s="5">
        <v>250</v>
      </c>
    </row>
    <row r="19" spans="1:3" x14ac:dyDescent="0.3">
      <c r="A19" s="4" t="s">
        <v>20</v>
      </c>
      <c r="B19" s="6"/>
      <c r="C19" s="5">
        <v>250</v>
      </c>
    </row>
    <row r="20" spans="1:3" x14ac:dyDescent="0.3">
      <c r="A20" s="4" t="s">
        <v>21</v>
      </c>
      <c r="B20" s="6"/>
      <c r="C20" s="5">
        <v>250</v>
      </c>
    </row>
    <row r="21" spans="1:3" x14ac:dyDescent="0.3">
      <c r="A21" s="4" t="s">
        <v>22</v>
      </c>
      <c r="B21" s="6"/>
      <c r="C21" s="5">
        <v>250</v>
      </c>
    </row>
    <row r="24" spans="1:3" x14ac:dyDescent="0.3">
      <c r="A24" s="15" t="s">
        <v>3</v>
      </c>
      <c r="B24" s="15"/>
      <c r="C24" s="15"/>
    </row>
    <row r="25" spans="1:3" x14ac:dyDescent="0.3">
      <c r="A25" s="4" t="s">
        <v>4</v>
      </c>
      <c r="B25" s="16" t="s">
        <v>23</v>
      </c>
      <c r="C25" s="16"/>
    </row>
    <row r="26" spans="1:3" x14ac:dyDescent="0.3">
      <c r="A26" s="4" t="s">
        <v>6</v>
      </c>
      <c r="B26" s="16"/>
      <c r="C26" s="16"/>
    </row>
    <row r="27" spans="1:3" x14ac:dyDescent="0.3">
      <c r="A27" s="4" t="s">
        <v>7</v>
      </c>
      <c r="B27" s="16"/>
      <c r="C27" s="16"/>
    </row>
    <row r="28" spans="1:3" x14ac:dyDescent="0.3">
      <c r="A28" s="4" t="s">
        <v>8</v>
      </c>
      <c r="B28" s="4" t="s">
        <v>9</v>
      </c>
      <c r="C28" s="4" t="s">
        <v>10</v>
      </c>
    </row>
    <row r="29" spans="1:3" x14ac:dyDescent="0.3">
      <c r="A29" s="4" t="s">
        <v>20</v>
      </c>
      <c r="B29" s="6"/>
      <c r="C29" s="5">
        <v>250</v>
      </c>
    </row>
    <row r="30" spans="1:3" x14ac:dyDescent="0.3">
      <c r="A30" s="4" t="s">
        <v>21</v>
      </c>
      <c r="B30" s="6"/>
      <c r="C30" s="5">
        <v>250</v>
      </c>
    </row>
    <row r="31" spans="1:3" x14ac:dyDescent="0.3">
      <c r="A31" s="4" t="s">
        <v>22</v>
      </c>
      <c r="B31" s="6"/>
      <c r="C31" s="5">
        <v>250</v>
      </c>
    </row>
  </sheetData>
  <mergeCells count="8">
    <mergeCell ref="B25:C25"/>
    <mergeCell ref="B26:C26"/>
    <mergeCell ref="B27:C27"/>
    <mergeCell ref="A5:C5"/>
    <mergeCell ref="B6:C6"/>
    <mergeCell ref="B7:C7"/>
    <mergeCell ref="B8:C8"/>
    <mergeCell ref="A24:C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tabSelected="1"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0" width="7.6640625" customWidth="1"/>
  </cols>
  <sheetData>
    <row r="1" spans="1:9" x14ac:dyDescent="0.3">
      <c r="A1" s="1" t="s">
        <v>0</v>
      </c>
      <c r="B1" s="2">
        <v>46211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24</v>
      </c>
      <c r="B5" s="8">
        <v>900</v>
      </c>
    </row>
    <row r="6" spans="1:9" x14ac:dyDescent="0.3">
      <c r="A6" s="4" t="s">
        <v>25</v>
      </c>
      <c r="B6" s="4" t="s">
        <v>26</v>
      </c>
      <c r="C6" s="4" t="s">
        <v>27</v>
      </c>
      <c r="D6" s="4" t="str">
        <f>"after "&amp;B5&amp;" °C"</f>
        <v>after 900 °C</v>
      </c>
      <c r="E6" s="4" t="s">
        <v>28</v>
      </c>
      <c r="F6" s="4" t="s">
        <v>29</v>
      </c>
    </row>
    <row r="7" spans="1:9" x14ac:dyDescent="0.3">
      <c r="A7" s="4" t="s">
        <v>30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31</v>
      </c>
      <c r="B9" s="17"/>
    </row>
    <row r="10" spans="1:9" x14ac:dyDescent="0.3">
      <c r="A10" s="4" t="s">
        <v>25</v>
      </c>
      <c r="B10" s="4" t="s">
        <v>32</v>
      </c>
      <c r="C10" s="4" t="s">
        <v>33</v>
      </c>
      <c r="D10" s="4" t="s">
        <v>34</v>
      </c>
      <c r="E10" s="4" t="s">
        <v>35</v>
      </c>
    </row>
    <row r="11" spans="1:9" x14ac:dyDescent="0.3">
      <c r="A11" s="4" t="s">
        <v>11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digestion_page!B10</f>
        <v>0</v>
      </c>
      <c r="H11" s="11">
        <f>digestion_page!C10</f>
        <v>250</v>
      </c>
      <c r="I11" s="11">
        <f>(LEFT(B11,FIND("/",B11)-1)/RIGHT(B11,LEN(B11)-FIND("/", B11)))</f>
        <v>1</v>
      </c>
    </row>
    <row r="12" spans="1:9" x14ac:dyDescent="0.3">
      <c r="A12" s="4" t="s">
        <v>12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digestion_page!B11</f>
        <v>0</v>
      </c>
      <c r="H12" s="11">
        <f>digestion_page!C11</f>
        <v>250</v>
      </c>
      <c r="I12" s="11">
        <f>(LEFT(B12,FIND("/",B12)-1)/RIGHT(B12,LEN(B12)-FIND("/", B12)))</f>
        <v>1</v>
      </c>
    </row>
    <row r="13" spans="1:9" x14ac:dyDescent="0.3">
      <c r="A13" s="4" t="s">
        <v>13</v>
      </c>
      <c r="B13" s="5" t="str">
        <f>"1/1"</f>
        <v>1/1</v>
      </c>
      <c r="C13" s="10"/>
      <c r="D13" s="9" t="e">
        <f>((C13)*(H13)*(I13))/(G13*$F$7)</f>
        <v>#DIV/0!</v>
      </c>
      <c r="E13" s="9" t="e">
        <f>D13/10000</f>
        <v>#DIV/0!</v>
      </c>
      <c r="G13" s="11">
        <f>digestion_page!B12</f>
        <v>0</v>
      </c>
      <c r="H13" s="11">
        <f>digestion_page!C12</f>
        <v>250</v>
      </c>
      <c r="I13" s="11">
        <f>(LEFT(B13,FIND("/",B13)-1)/RIGHT(B13,LEN(B13)-FIND("/", B13)))</f>
        <v>1</v>
      </c>
    </row>
    <row r="15" spans="1:9" x14ac:dyDescent="0.3">
      <c r="A15" s="18" t="s">
        <v>36</v>
      </c>
      <c r="B15" s="18"/>
      <c r="C15" s="12" t="e">
        <f>AVERAGE(D11:D13)</f>
        <v>#DIV/0!</v>
      </c>
    </row>
    <row r="16" spans="1:9" x14ac:dyDescent="0.3">
      <c r="A16" s="18" t="s">
        <v>36</v>
      </c>
      <c r="B16" s="18"/>
      <c r="C16" s="13" t="e">
        <f>AVERAGE(E11:E13)</f>
        <v>#DIV/0!</v>
      </c>
    </row>
    <row r="17" spans="1:9" x14ac:dyDescent="0.3">
      <c r="A17" s="18" t="s">
        <v>37</v>
      </c>
      <c r="B17" s="18"/>
      <c r="C17" s="19" t="s">
        <v>43</v>
      </c>
      <c r="D17" s="19"/>
      <c r="E17" s="19"/>
      <c r="F17" s="19"/>
    </row>
    <row r="19" spans="1:9" x14ac:dyDescent="0.3">
      <c r="A19" s="17" t="s">
        <v>38</v>
      </c>
      <c r="B19" s="17"/>
    </row>
    <row r="20" spans="1:9" x14ac:dyDescent="0.3">
      <c r="A20" s="4" t="s">
        <v>25</v>
      </c>
      <c r="B20" s="4" t="s">
        <v>32</v>
      </c>
      <c r="C20" s="4" t="s">
        <v>33</v>
      </c>
      <c r="D20" s="4" t="s">
        <v>39</v>
      </c>
      <c r="E20" s="4" t="s">
        <v>40</v>
      </c>
    </row>
    <row r="21" spans="1:9" x14ac:dyDescent="0.3">
      <c r="A21" s="4" t="s">
        <v>11</v>
      </c>
      <c r="B21" s="5" t="str">
        <f>"1/1"</f>
        <v>1/1</v>
      </c>
      <c r="C21" s="10"/>
      <c r="D21" s="9" t="e">
        <f>((C21)*(H21)*(I21))/(G21*$F$7)</f>
        <v>#DIV/0!</v>
      </c>
      <c r="E21" s="9" t="e">
        <f>D21/10000</f>
        <v>#DIV/0!</v>
      </c>
      <c r="G21" s="11">
        <f>digestion_page!B10</f>
        <v>0</v>
      </c>
      <c r="H21" s="11">
        <f>digestion_page!C10</f>
        <v>250</v>
      </c>
      <c r="I21" s="11">
        <f>(LEFT(B21,FIND("/",B21)-1)/RIGHT(B21,LEN(B21)-FIND("/", B21)))</f>
        <v>1</v>
      </c>
    </row>
    <row r="22" spans="1:9" x14ac:dyDescent="0.3">
      <c r="A22" s="4" t="s">
        <v>12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digestion_page!B11</f>
        <v>0</v>
      </c>
      <c r="H22" s="11">
        <f>digestion_page!C11</f>
        <v>250</v>
      </c>
      <c r="I22" s="11">
        <f>(LEFT(B22,FIND("/",B22)-1)/RIGHT(B22,LEN(B22)-FIND("/", B22)))</f>
        <v>1</v>
      </c>
    </row>
    <row r="23" spans="1:9" x14ac:dyDescent="0.3">
      <c r="A23" s="4" t="s">
        <v>13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digestion_page!B12</f>
        <v>0</v>
      </c>
      <c r="H23" s="11">
        <f>digestion_page!C12</f>
        <v>250</v>
      </c>
      <c r="I23" s="11">
        <f>(LEFT(B23,FIND("/",B23)-1)/RIGHT(B23,LEN(B23)-FIND("/", B23)))</f>
        <v>1</v>
      </c>
    </row>
    <row r="25" spans="1:9" x14ac:dyDescent="0.3">
      <c r="A25" s="18" t="s">
        <v>41</v>
      </c>
      <c r="B25" s="18"/>
      <c r="C25" s="12" t="e">
        <f>AVERAGE(D21:D23)</f>
        <v>#DIV/0!</v>
      </c>
    </row>
    <row r="26" spans="1:9" x14ac:dyDescent="0.3">
      <c r="A26" s="18" t="s">
        <v>41</v>
      </c>
      <c r="B26" s="18"/>
      <c r="C26" s="13" t="e">
        <f>AVERAGE(E21:E23)</f>
        <v>#DIV/0!</v>
      </c>
    </row>
    <row r="27" spans="1:9" x14ac:dyDescent="0.3">
      <c r="A27" s="18" t="s">
        <v>42</v>
      </c>
      <c r="B27" s="18"/>
      <c r="C27" s="19" t="s">
        <v>44</v>
      </c>
      <c r="D27" s="19"/>
      <c r="E27" s="19"/>
      <c r="F27" s="19"/>
    </row>
    <row r="29" spans="1:9" x14ac:dyDescent="0.3">
      <c r="B29" s="7" t="s">
        <v>45</v>
      </c>
      <c r="C29" s="20"/>
      <c r="D29" s="20"/>
      <c r="E29" s="20"/>
      <c r="F29" s="20"/>
    </row>
    <row r="30" spans="1:9" x14ac:dyDescent="0.3">
      <c r="C30" s="20"/>
      <c r="D30" s="20"/>
      <c r="E30" s="20"/>
      <c r="F30" s="20"/>
    </row>
    <row r="31" spans="1:9" x14ac:dyDescent="0.3">
      <c r="C31" s="20"/>
      <c r="D31" s="20"/>
      <c r="E31" s="20"/>
      <c r="F31" s="20"/>
    </row>
  </sheetData>
  <mergeCells count="11">
    <mergeCell ref="C29:F31"/>
    <mergeCell ref="A19:B19"/>
    <mergeCell ref="A25:B25"/>
    <mergeCell ref="A26:B26"/>
    <mergeCell ref="A27:B27"/>
    <mergeCell ref="C27:F27"/>
    <mergeCell ref="A9:B9"/>
    <mergeCell ref="A15:B15"/>
    <mergeCell ref="A16:B16"/>
    <mergeCell ref="A17:B17"/>
    <mergeCell ref="C17:F17"/>
  </mergeCells>
  <conditionalFormatting sqref="B5">
    <cfRule type="containsBlanks" dxfId="12" priority="1">
      <formula>LEN(TRIM(B5))=0</formula>
    </cfRule>
  </conditionalFormatting>
  <conditionalFormatting sqref="C17:F17">
    <cfRule type="containsBlanks" dxfId="11" priority="2">
      <formula>LEN(TRIM(C17))=0</formula>
    </cfRule>
  </conditionalFormatting>
  <conditionalFormatting sqref="C27:F27">
    <cfRule type="containsBlanks" dxfId="10" priority="3">
      <formula>LEN(TRIM(C27))=0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0" width="7.6640625" customWidth="1"/>
  </cols>
  <sheetData>
    <row r="1" spans="1:9" x14ac:dyDescent="0.3">
      <c r="A1" s="1" t="s">
        <v>0</v>
      </c>
      <c r="B1" s="2">
        <v>46211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24</v>
      </c>
      <c r="B5" s="8">
        <v>900</v>
      </c>
    </row>
    <row r="6" spans="1:9" x14ac:dyDescent="0.3">
      <c r="A6" s="4" t="s">
        <v>25</v>
      </c>
      <c r="B6" s="4" t="s">
        <v>26</v>
      </c>
      <c r="C6" s="4" t="s">
        <v>27</v>
      </c>
      <c r="D6" s="4" t="str">
        <f>"after "&amp;B5&amp;" °C"</f>
        <v>after 900 °C</v>
      </c>
      <c r="E6" s="4" t="s">
        <v>28</v>
      </c>
      <c r="F6" s="4" t="s">
        <v>29</v>
      </c>
    </row>
    <row r="7" spans="1:9" x14ac:dyDescent="0.3">
      <c r="A7" s="4" t="s">
        <v>46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31</v>
      </c>
      <c r="B9" s="17"/>
    </row>
    <row r="10" spans="1:9" x14ac:dyDescent="0.3">
      <c r="A10" s="4" t="s">
        <v>25</v>
      </c>
      <c r="B10" s="4" t="s">
        <v>32</v>
      </c>
      <c r="C10" s="4" t="s">
        <v>33</v>
      </c>
      <c r="D10" s="4" t="s">
        <v>34</v>
      </c>
      <c r="E10" s="4" t="s">
        <v>35</v>
      </c>
    </row>
    <row r="11" spans="1:9" x14ac:dyDescent="0.3">
      <c r="A11" s="4" t="s">
        <v>14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digestion_page!B13</f>
        <v>0</v>
      </c>
      <c r="H11" s="11">
        <f>digestion_page!C13</f>
        <v>250</v>
      </c>
      <c r="I11" s="11">
        <f>(LEFT(B11,FIND("/",B11)-1)/RIGHT(B11,LEN(B11)-FIND("/", B11)))</f>
        <v>1</v>
      </c>
    </row>
    <row r="12" spans="1:9" x14ac:dyDescent="0.3">
      <c r="A12" s="4" t="s">
        <v>15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digestion_page!B14</f>
        <v>0</v>
      </c>
      <c r="H12" s="11">
        <f>digestion_page!C14</f>
        <v>250</v>
      </c>
      <c r="I12" s="11">
        <f>(LEFT(B12,FIND("/",B12)-1)/RIGHT(B12,LEN(B12)-FIND("/", B12)))</f>
        <v>1</v>
      </c>
    </row>
    <row r="13" spans="1:9" x14ac:dyDescent="0.3">
      <c r="A13" s="4" t="s">
        <v>16</v>
      </c>
      <c r="B13" s="5" t="str">
        <f>"1/1"</f>
        <v>1/1</v>
      </c>
      <c r="C13" s="10"/>
      <c r="D13" s="9" t="e">
        <f>((C13)*(H13)*(I13))/(G13*$F$7)</f>
        <v>#DIV/0!</v>
      </c>
      <c r="E13" s="9" t="e">
        <f>D13/10000</f>
        <v>#DIV/0!</v>
      </c>
      <c r="G13" s="11">
        <f>digestion_page!B15</f>
        <v>0</v>
      </c>
      <c r="H13" s="11">
        <f>digestion_page!C15</f>
        <v>250</v>
      </c>
      <c r="I13" s="11">
        <f>(LEFT(B13,FIND("/",B13)-1)/RIGHT(B13,LEN(B13)-FIND("/", B13)))</f>
        <v>1</v>
      </c>
    </row>
    <row r="15" spans="1:9" x14ac:dyDescent="0.3">
      <c r="A15" s="18" t="s">
        <v>36</v>
      </c>
      <c r="B15" s="18"/>
      <c r="C15" s="12" t="e">
        <f>AVERAGE(D11:D13)</f>
        <v>#DIV/0!</v>
      </c>
    </row>
    <row r="16" spans="1:9" x14ac:dyDescent="0.3">
      <c r="A16" s="18" t="s">
        <v>36</v>
      </c>
      <c r="B16" s="18"/>
      <c r="C16" s="13" t="e">
        <f>AVERAGE(E11:E13)</f>
        <v>#DIV/0!</v>
      </c>
    </row>
    <row r="17" spans="1:9" x14ac:dyDescent="0.3">
      <c r="A17" s="18" t="s">
        <v>37</v>
      </c>
      <c r="B17" s="18"/>
      <c r="C17" s="19" t="s">
        <v>43</v>
      </c>
      <c r="D17" s="19"/>
      <c r="E17" s="19"/>
      <c r="F17" s="19"/>
    </row>
    <row r="19" spans="1:9" x14ac:dyDescent="0.3">
      <c r="A19" s="17" t="s">
        <v>38</v>
      </c>
      <c r="B19" s="17"/>
    </row>
    <row r="20" spans="1:9" x14ac:dyDescent="0.3">
      <c r="A20" s="4" t="s">
        <v>25</v>
      </c>
      <c r="B20" s="4" t="s">
        <v>32</v>
      </c>
      <c r="C20" s="4" t="s">
        <v>33</v>
      </c>
      <c r="D20" s="4" t="s">
        <v>39</v>
      </c>
      <c r="E20" s="4" t="s">
        <v>40</v>
      </c>
    </row>
    <row r="21" spans="1:9" x14ac:dyDescent="0.3">
      <c r="A21" s="4" t="s">
        <v>14</v>
      </c>
      <c r="B21" s="5" t="str">
        <f>"1/1"</f>
        <v>1/1</v>
      </c>
      <c r="C21" s="10"/>
      <c r="D21" s="9" t="e">
        <f>((C21)*(H21)*(I21))/(G21*$F$7)</f>
        <v>#DIV/0!</v>
      </c>
      <c r="E21" s="9" t="e">
        <f>D21/10000</f>
        <v>#DIV/0!</v>
      </c>
      <c r="G21" s="11">
        <f>digestion_page!B13</f>
        <v>0</v>
      </c>
      <c r="H21" s="11">
        <f>digestion_page!C13</f>
        <v>250</v>
      </c>
      <c r="I21" s="11">
        <f>(LEFT(B21,FIND("/",B21)-1)/RIGHT(B21,LEN(B21)-FIND("/", B21)))</f>
        <v>1</v>
      </c>
    </row>
    <row r="22" spans="1:9" x14ac:dyDescent="0.3">
      <c r="A22" s="4" t="s">
        <v>15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digestion_page!B14</f>
        <v>0</v>
      </c>
      <c r="H22" s="11">
        <f>digestion_page!C14</f>
        <v>250</v>
      </c>
      <c r="I22" s="11">
        <f>(LEFT(B22,FIND("/",B22)-1)/RIGHT(B22,LEN(B22)-FIND("/", B22)))</f>
        <v>1</v>
      </c>
    </row>
    <row r="23" spans="1:9" x14ac:dyDescent="0.3">
      <c r="A23" s="4" t="s">
        <v>16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digestion_page!B15</f>
        <v>0</v>
      </c>
      <c r="H23" s="11">
        <f>digestion_page!C15</f>
        <v>250</v>
      </c>
      <c r="I23" s="11">
        <f>(LEFT(B23,FIND("/",B23)-1)/RIGHT(B23,LEN(B23)-FIND("/", B23)))</f>
        <v>1</v>
      </c>
    </row>
    <row r="25" spans="1:9" x14ac:dyDescent="0.3">
      <c r="A25" s="18" t="s">
        <v>41</v>
      </c>
      <c r="B25" s="18"/>
      <c r="C25" s="12" t="e">
        <f>AVERAGE(D21:D23)</f>
        <v>#DIV/0!</v>
      </c>
    </row>
    <row r="26" spans="1:9" x14ac:dyDescent="0.3">
      <c r="A26" s="18" t="s">
        <v>41</v>
      </c>
      <c r="B26" s="18"/>
      <c r="C26" s="13" t="e">
        <f>AVERAGE(E21:E23)</f>
        <v>#DIV/0!</v>
      </c>
    </row>
    <row r="27" spans="1:9" x14ac:dyDescent="0.3">
      <c r="A27" s="18" t="s">
        <v>42</v>
      </c>
      <c r="B27" s="18"/>
      <c r="C27" s="19" t="s">
        <v>44</v>
      </c>
      <c r="D27" s="19"/>
      <c r="E27" s="19"/>
      <c r="F27" s="19"/>
    </row>
    <row r="29" spans="1:9" x14ac:dyDescent="0.3">
      <c r="B29" s="7" t="s">
        <v>45</v>
      </c>
      <c r="C29" s="20"/>
      <c r="D29" s="20"/>
      <c r="E29" s="20"/>
      <c r="F29" s="20"/>
    </row>
    <row r="30" spans="1:9" x14ac:dyDescent="0.3">
      <c r="C30" s="20"/>
      <c r="D30" s="20"/>
      <c r="E30" s="20"/>
      <c r="F30" s="20"/>
    </row>
    <row r="31" spans="1:9" x14ac:dyDescent="0.3">
      <c r="C31" s="20"/>
      <c r="D31" s="20"/>
      <c r="E31" s="20"/>
      <c r="F31" s="20"/>
    </row>
  </sheetData>
  <mergeCells count="11">
    <mergeCell ref="C29:F31"/>
    <mergeCell ref="A19:B19"/>
    <mergeCell ref="A25:B25"/>
    <mergeCell ref="A26:B26"/>
    <mergeCell ref="A27:B27"/>
    <mergeCell ref="C27:F27"/>
    <mergeCell ref="A9:B9"/>
    <mergeCell ref="A15:B15"/>
    <mergeCell ref="A16:B16"/>
    <mergeCell ref="A17:B17"/>
    <mergeCell ref="C17:F17"/>
  </mergeCells>
  <conditionalFormatting sqref="B5">
    <cfRule type="containsBlanks" dxfId="9" priority="1">
      <formula>LEN(TRIM(B5))=0</formula>
    </cfRule>
  </conditionalFormatting>
  <conditionalFormatting sqref="C17:F17">
    <cfRule type="containsBlanks" dxfId="8" priority="2">
      <formula>LEN(TRIM(C17))=0</formula>
    </cfRule>
  </conditionalFormatting>
  <conditionalFormatting sqref="C27:F27">
    <cfRule type="containsBlanks" dxfId="7" priority="3">
      <formula>LEN(TRIM(C27))=0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20" width="7.6640625" customWidth="1"/>
  </cols>
  <sheetData>
    <row r="1" spans="1:9" x14ac:dyDescent="0.3">
      <c r="A1" s="1" t="s">
        <v>0</v>
      </c>
      <c r="B1" s="2">
        <v>46211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24</v>
      </c>
      <c r="B5" s="8">
        <v>900</v>
      </c>
    </row>
    <row r="6" spans="1:9" x14ac:dyDescent="0.3">
      <c r="A6" s="4" t="s">
        <v>25</v>
      </c>
      <c r="B6" s="4" t="s">
        <v>26</v>
      </c>
      <c r="C6" s="4" t="s">
        <v>27</v>
      </c>
      <c r="D6" s="4" t="str">
        <f>"after "&amp;B5&amp;" °C"</f>
        <v>after 900 °C</v>
      </c>
      <c r="E6" s="4" t="s">
        <v>28</v>
      </c>
      <c r="F6" s="4" t="s">
        <v>29</v>
      </c>
    </row>
    <row r="7" spans="1:9" x14ac:dyDescent="0.3">
      <c r="A7" s="4" t="s">
        <v>47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31</v>
      </c>
      <c r="B9" s="17"/>
    </row>
    <row r="10" spans="1:9" x14ac:dyDescent="0.3">
      <c r="A10" s="4" t="s">
        <v>25</v>
      </c>
      <c r="B10" s="4" t="s">
        <v>32</v>
      </c>
      <c r="C10" s="4" t="s">
        <v>33</v>
      </c>
      <c r="D10" s="4" t="s">
        <v>34</v>
      </c>
      <c r="E10" s="4" t="s">
        <v>35</v>
      </c>
    </row>
    <row r="11" spans="1:9" x14ac:dyDescent="0.3">
      <c r="A11" s="4" t="s">
        <v>17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digestion_page!B16</f>
        <v>0</v>
      </c>
      <c r="H11" s="11">
        <f>digestion_page!C16</f>
        <v>250</v>
      </c>
      <c r="I11" s="11">
        <f>(LEFT(B11,FIND("/",B11)-1)/RIGHT(B11,LEN(B11)-FIND("/", B11)))</f>
        <v>1</v>
      </c>
    </row>
    <row r="12" spans="1:9" x14ac:dyDescent="0.3">
      <c r="A12" s="4" t="s">
        <v>18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digestion_page!B17</f>
        <v>0</v>
      </c>
      <c r="H12" s="11">
        <f>digestion_page!C17</f>
        <v>250</v>
      </c>
      <c r="I12" s="11">
        <f>(LEFT(B12,FIND("/",B12)-1)/RIGHT(B12,LEN(B12)-FIND("/", B12)))</f>
        <v>1</v>
      </c>
    </row>
    <row r="13" spans="1:9" x14ac:dyDescent="0.3">
      <c r="A13" s="4" t="s">
        <v>19</v>
      </c>
      <c r="B13" s="5" t="str">
        <f>"1/1"</f>
        <v>1/1</v>
      </c>
      <c r="C13" s="10"/>
      <c r="D13" s="9" t="e">
        <f>((C13)*(H13)*(I13))/(G13*$F$7)</f>
        <v>#DIV/0!</v>
      </c>
      <c r="E13" s="9" t="e">
        <f>D13/10000</f>
        <v>#DIV/0!</v>
      </c>
      <c r="G13" s="11">
        <f>digestion_page!B18</f>
        <v>0</v>
      </c>
      <c r="H13" s="11">
        <f>digestion_page!C18</f>
        <v>250</v>
      </c>
      <c r="I13" s="11">
        <f>(LEFT(B13,FIND("/",B13)-1)/RIGHT(B13,LEN(B13)-FIND("/", B13)))</f>
        <v>1</v>
      </c>
    </row>
    <row r="15" spans="1:9" x14ac:dyDescent="0.3">
      <c r="A15" s="18" t="s">
        <v>36</v>
      </c>
      <c r="B15" s="18"/>
      <c r="C15" s="12" t="e">
        <f>AVERAGE(D11:D13)</f>
        <v>#DIV/0!</v>
      </c>
    </row>
    <row r="16" spans="1:9" x14ac:dyDescent="0.3">
      <c r="A16" s="18" t="s">
        <v>36</v>
      </c>
      <c r="B16" s="18"/>
      <c r="C16" s="13" t="e">
        <f>AVERAGE(E11:E13)</f>
        <v>#DIV/0!</v>
      </c>
    </row>
    <row r="17" spans="1:9" x14ac:dyDescent="0.3">
      <c r="A17" s="18" t="s">
        <v>37</v>
      </c>
      <c r="B17" s="18"/>
      <c r="C17" s="19" t="s">
        <v>43</v>
      </c>
      <c r="D17" s="19"/>
      <c r="E17" s="19"/>
      <c r="F17" s="19"/>
    </row>
    <row r="19" spans="1:9" x14ac:dyDescent="0.3">
      <c r="A19" s="17" t="s">
        <v>38</v>
      </c>
      <c r="B19" s="17"/>
    </row>
    <row r="20" spans="1:9" x14ac:dyDescent="0.3">
      <c r="A20" s="4" t="s">
        <v>25</v>
      </c>
      <c r="B20" s="4" t="s">
        <v>32</v>
      </c>
      <c r="C20" s="4" t="s">
        <v>33</v>
      </c>
      <c r="D20" s="4" t="s">
        <v>39</v>
      </c>
      <c r="E20" s="4" t="s">
        <v>40</v>
      </c>
    </row>
    <row r="21" spans="1:9" x14ac:dyDescent="0.3">
      <c r="A21" s="4" t="s">
        <v>17</v>
      </c>
      <c r="B21" s="5" t="str">
        <f>"1/1"</f>
        <v>1/1</v>
      </c>
      <c r="C21" s="10"/>
      <c r="D21" s="9" t="e">
        <f>((C21)*(H21)*(I21))/(G21*$F$7)</f>
        <v>#DIV/0!</v>
      </c>
      <c r="E21" s="9" t="e">
        <f>D21/10000</f>
        <v>#DIV/0!</v>
      </c>
      <c r="G21" s="11">
        <f>digestion_page!B16</f>
        <v>0</v>
      </c>
      <c r="H21" s="11">
        <f>digestion_page!C16</f>
        <v>250</v>
      </c>
      <c r="I21" s="11">
        <f>(LEFT(B21,FIND("/",B21)-1)/RIGHT(B21,LEN(B21)-FIND("/", B21)))</f>
        <v>1</v>
      </c>
    </row>
    <row r="22" spans="1:9" x14ac:dyDescent="0.3">
      <c r="A22" s="4" t="s">
        <v>18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digestion_page!B17</f>
        <v>0</v>
      </c>
      <c r="H22" s="11">
        <f>digestion_page!C17</f>
        <v>250</v>
      </c>
      <c r="I22" s="11">
        <f>(LEFT(B22,FIND("/",B22)-1)/RIGHT(B22,LEN(B22)-FIND("/", B22)))</f>
        <v>1</v>
      </c>
    </row>
    <row r="23" spans="1:9" x14ac:dyDescent="0.3">
      <c r="A23" s="4" t="s">
        <v>19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digestion_page!B18</f>
        <v>0</v>
      </c>
      <c r="H23" s="11">
        <f>digestion_page!C18</f>
        <v>250</v>
      </c>
      <c r="I23" s="11">
        <f>(LEFT(B23,FIND("/",B23)-1)/RIGHT(B23,LEN(B23)-FIND("/", B23)))</f>
        <v>1</v>
      </c>
    </row>
    <row r="25" spans="1:9" x14ac:dyDescent="0.3">
      <c r="A25" s="18" t="s">
        <v>41</v>
      </c>
      <c r="B25" s="18"/>
      <c r="C25" s="12" t="e">
        <f>AVERAGE(D21:D23)</f>
        <v>#DIV/0!</v>
      </c>
    </row>
    <row r="26" spans="1:9" x14ac:dyDescent="0.3">
      <c r="A26" s="18" t="s">
        <v>41</v>
      </c>
      <c r="B26" s="18"/>
      <c r="C26" s="13" t="e">
        <f>AVERAGE(E21:E23)</f>
        <v>#DIV/0!</v>
      </c>
    </row>
    <row r="27" spans="1:9" x14ac:dyDescent="0.3">
      <c r="A27" s="18" t="s">
        <v>42</v>
      </c>
      <c r="B27" s="18"/>
      <c r="C27" s="19" t="s">
        <v>44</v>
      </c>
      <c r="D27" s="19"/>
      <c r="E27" s="19"/>
      <c r="F27" s="19"/>
    </row>
    <row r="29" spans="1:9" x14ac:dyDescent="0.3">
      <c r="B29" s="7" t="s">
        <v>45</v>
      </c>
      <c r="C29" s="20"/>
      <c r="D29" s="20"/>
      <c r="E29" s="20"/>
      <c r="F29" s="20"/>
    </row>
    <row r="30" spans="1:9" x14ac:dyDescent="0.3">
      <c r="C30" s="20"/>
      <c r="D30" s="20"/>
      <c r="E30" s="20"/>
      <c r="F30" s="20"/>
    </row>
    <row r="31" spans="1:9" x14ac:dyDescent="0.3">
      <c r="C31" s="20"/>
      <c r="D31" s="20"/>
      <c r="E31" s="20"/>
      <c r="F31" s="20"/>
    </row>
  </sheetData>
  <mergeCells count="11">
    <mergeCell ref="C29:F31"/>
    <mergeCell ref="A19:B19"/>
    <mergeCell ref="A25:B25"/>
    <mergeCell ref="A26:B26"/>
    <mergeCell ref="A27:B27"/>
    <mergeCell ref="C27:F27"/>
    <mergeCell ref="A9:B9"/>
    <mergeCell ref="A15:B15"/>
    <mergeCell ref="A16:B16"/>
    <mergeCell ref="A17:B17"/>
    <mergeCell ref="C17:F17"/>
  </mergeCells>
  <conditionalFormatting sqref="B5">
    <cfRule type="containsBlanks" dxfId="6" priority="1">
      <formula>LEN(TRIM(B5))=0</formula>
    </cfRule>
  </conditionalFormatting>
  <conditionalFormatting sqref="C17:F17">
    <cfRule type="containsBlanks" dxfId="5" priority="2">
      <formula>LEN(TRIM(C17))=0</formula>
    </cfRule>
  </conditionalFormatting>
  <conditionalFormatting sqref="C27:F27">
    <cfRule type="containsBlanks" dxfId="4" priority="3">
      <formula>LEN(TRIM(C27))=0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workbookViewId="0">
      <selection activeCell="J15" sqref="J15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30" width="7.6640625" customWidth="1"/>
  </cols>
  <sheetData>
    <row r="1" spans="1:9" x14ac:dyDescent="0.3">
      <c r="A1" s="1" t="s">
        <v>0</v>
      </c>
      <c r="B1" s="2">
        <v>46211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24</v>
      </c>
      <c r="B5" s="8">
        <v>900</v>
      </c>
    </row>
    <row r="6" spans="1:9" x14ac:dyDescent="0.3">
      <c r="A6" s="4" t="s">
        <v>25</v>
      </c>
      <c r="B6" s="4" t="s">
        <v>26</v>
      </c>
      <c r="C6" s="4" t="s">
        <v>27</v>
      </c>
      <c r="D6" s="4" t="str">
        <f>"after "&amp;B5&amp;" °C"</f>
        <v>after 900 °C</v>
      </c>
      <c r="E6" s="4" t="s">
        <v>28</v>
      </c>
      <c r="F6" s="4" t="s">
        <v>29</v>
      </c>
    </row>
    <row r="7" spans="1:9" x14ac:dyDescent="0.3">
      <c r="A7" s="4" t="s">
        <v>48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31</v>
      </c>
      <c r="B9" s="17"/>
    </row>
    <row r="10" spans="1:9" x14ac:dyDescent="0.3">
      <c r="A10" s="4" t="s">
        <v>25</v>
      </c>
      <c r="B10" s="4" t="s">
        <v>32</v>
      </c>
      <c r="C10" s="4" t="s">
        <v>33</v>
      </c>
      <c r="D10" s="4" t="s">
        <v>34</v>
      </c>
      <c r="E10" s="4" t="s">
        <v>35</v>
      </c>
    </row>
    <row r="11" spans="1:9" x14ac:dyDescent="0.3">
      <c r="A11" s="4" t="s">
        <v>20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digestion_page!B19</f>
        <v>0</v>
      </c>
      <c r="H11" s="11">
        <f>digestion_page!C19</f>
        <v>250</v>
      </c>
      <c r="I11" s="11">
        <f>(LEFT(B11,FIND("/",B11)-1)/RIGHT(B11,LEN(B11)-FIND("/", B11)))</f>
        <v>1</v>
      </c>
    </row>
    <row r="12" spans="1:9" x14ac:dyDescent="0.3">
      <c r="A12" s="4" t="s">
        <v>21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digestion_page!B20</f>
        <v>0</v>
      </c>
      <c r="H12" s="11">
        <f>digestion_page!C20</f>
        <v>250</v>
      </c>
      <c r="I12" s="11">
        <f>(LEFT(B12,FIND("/",B12)-1)/RIGHT(B12,LEN(B12)-FIND("/", B12)))</f>
        <v>1</v>
      </c>
    </row>
    <row r="13" spans="1:9" x14ac:dyDescent="0.3">
      <c r="A13" s="4" t="s">
        <v>22</v>
      </c>
      <c r="B13" s="5" t="str">
        <f>"1/1"</f>
        <v>1/1</v>
      </c>
      <c r="C13" s="10"/>
      <c r="D13" s="9" t="e">
        <f>((C13)*(H13)*(I13))/(G13*$F$7)</f>
        <v>#DIV/0!</v>
      </c>
      <c r="E13" s="9" t="e">
        <f>D13/10000</f>
        <v>#DIV/0!</v>
      </c>
      <c r="G13" s="11">
        <f>digestion_page!B21</f>
        <v>0</v>
      </c>
      <c r="H13" s="11">
        <f>digestion_page!C21</f>
        <v>250</v>
      </c>
      <c r="I13" s="11">
        <f>(LEFT(B13,FIND("/",B13)-1)/RIGHT(B13,LEN(B13)-FIND("/", B13)))</f>
        <v>1</v>
      </c>
    </row>
    <row r="15" spans="1:9" x14ac:dyDescent="0.3">
      <c r="A15" s="18" t="s">
        <v>36</v>
      </c>
      <c r="B15" s="18"/>
      <c r="C15" s="12" t="e">
        <f>AVERAGE(D11:D13)</f>
        <v>#DIV/0!</v>
      </c>
    </row>
    <row r="16" spans="1:9" x14ac:dyDescent="0.3">
      <c r="A16" s="18" t="s">
        <v>36</v>
      </c>
      <c r="B16" s="18"/>
      <c r="C16" s="13" t="e">
        <f>AVERAGE(E11:E13)</f>
        <v>#DIV/0!</v>
      </c>
    </row>
    <row r="17" spans="1:9" x14ac:dyDescent="0.3">
      <c r="A17" s="18" t="s">
        <v>37</v>
      </c>
      <c r="B17" s="18"/>
      <c r="C17" s="19" t="s">
        <v>43</v>
      </c>
      <c r="D17" s="19"/>
      <c r="E17" s="19"/>
      <c r="F17" s="19"/>
    </row>
    <row r="19" spans="1:9" x14ac:dyDescent="0.3">
      <c r="A19" s="17" t="s">
        <v>38</v>
      </c>
      <c r="B19" s="17"/>
    </row>
    <row r="20" spans="1:9" x14ac:dyDescent="0.3">
      <c r="A20" s="4" t="s">
        <v>25</v>
      </c>
      <c r="B20" s="4" t="s">
        <v>32</v>
      </c>
      <c r="C20" s="4" t="s">
        <v>33</v>
      </c>
      <c r="D20" s="4" t="s">
        <v>39</v>
      </c>
      <c r="E20" s="4" t="s">
        <v>40</v>
      </c>
    </row>
    <row r="21" spans="1:9" x14ac:dyDescent="0.3">
      <c r="A21" s="4" t="s">
        <v>20</v>
      </c>
      <c r="B21" s="5" t="str">
        <f>"1/1"</f>
        <v>1/1</v>
      </c>
      <c r="C21" s="10"/>
      <c r="D21" s="9" t="e">
        <f>((C21)*(H21)*(I21))/(G21*$F$7)</f>
        <v>#DIV/0!</v>
      </c>
      <c r="E21" s="9" t="e">
        <f>D21/10000</f>
        <v>#DIV/0!</v>
      </c>
      <c r="G21" s="11">
        <f>digestion_page!B19</f>
        <v>0</v>
      </c>
      <c r="H21" s="11">
        <f>digestion_page!C19</f>
        <v>250</v>
      </c>
      <c r="I21" s="11">
        <f>(LEFT(B21,FIND("/",B21)-1)/RIGHT(B21,LEN(B21)-FIND("/", B21)))</f>
        <v>1</v>
      </c>
    </row>
    <row r="22" spans="1:9" x14ac:dyDescent="0.3">
      <c r="A22" s="4" t="s">
        <v>21</v>
      </c>
      <c r="B22" s="5" t="str">
        <f>"1/1"</f>
        <v>1/1</v>
      </c>
      <c r="C22" s="10"/>
      <c r="D22" s="9" t="e">
        <f>((C22)*(H22)*(I22))/(G22*$F$7)</f>
        <v>#DIV/0!</v>
      </c>
      <c r="E22" s="9" t="e">
        <f>D22/10000</f>
        <v>#DIV/0!</v>
      </c>
      <c r="G22" s="11">
        <f>digestion_page!B20</f>
        <v>0</v>
      </c>
      <c r="H22" s="11">
        <f>digestion_page!C20</f>
        <v>250</v>
      </c>
      <c r="I22" s="11">
        <f>(LEFT(B22,FIND("/",B22)-1)/RIGHT(B22,LEN(B22)-FIND("/", B22)))</f>
        <v>1</v>
      </c>
    </row>
    <row r="23" spans="1:9" x14ac:dyDescent="0.3">
      <c r="A23" s="4" t="s">
        <v>22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digestion_page!B21</f>
        <v>0</v>
      </c>
      <c r="H23" s="11">
        <f>digestion_page!C21</f>
        <v>250</v>
      </c>
      <c r="I23" s="11">
        <f>(LEFT(B23,FIND("/",B23)-1)/RIGHT(B23,LEN(B23)-FIND("/", B23)))</f>
        <v>1</v>
      </c>
    </row>
    <row r="25" spans="1:9" x14ac:dyDescent="0.3">
      <c r="A25" s="18" t="s">
        <v>41</v>
      </c>
      <c r="B25" s="18"/>
      <c r="C25" s="12" t="e">
        <f>AVERAGE(D21:D23)</f>
        <v>#DIV/0!</v>
      </c>
    </row>
    <row r="26" spans="1:9" x14ac:dyDescent="0.3">
      <c r="A26" s="18" t="s">
        <v>41</v>
      </c>
      <c r="B26" s="18"/>
      <c r="C26" s="13" t="e">
        <f>AVERAGE(E21:E23)</f>
        <v>#DIV/0!</v>
      </c>
    </row>
    <row r="27" spans="1:9" x14ac:dyDescent="0.3">
      <c r="A27" s="18" t="s">
        <v>42</v>
      </c>
      <c r="B27" s="18"/>
      <c r="C27" s="19" t="s">
        <v>44</v>
      </c>
      <c r="D27" s="19"/>
      <c r="E27" s="19"/>
      <c r="F27" s="19"/>
    </row>
    <row r="29" spans="1:9" x14ac:dyDescent="0.3">
      <c r="A29" s="17" t="s">
        <v>49</v>
      </c>
      <c r="B29" s="17"/>
    </row>
    <row r="30" spans="1:9" x14ac:dyDescent="0.3">
      <c r="A30" s="4" t="s">
        <v>25</v>
      </c>
      <c r="B30" s="4" t="s">
        <v>32</v>
      </c>
      <c r="C30" s="4" t="s">
        <v>33</v>
      </c>
      <c r="D30" s="4" t="s">
        <v>50</v>
      </c>
      <c r="E30" s="4" t="s">
        <v>51</v>
      </c>
    </row>
    <row r="31" spans="1:9" x14ac:dyDescent="0.3">
      <c r="A31" s="4" t="s">
        <v>20</v>
      </c>
      <c r="B31" s="5" t="str">
        <f>"1/1"</f>
        <v>1/1</v>
      </c>
      <c r="C31" s="10"/>
      <c r="D31" s="9" t="e">
        <f>((C31)*(H31)*(I31))/(G31*$F$7)</f>
        <v>#DIV/0!</v>
      </c>
      <c r="E31" s="9" t="e">
        <f>D31/10000</f>
        <v>#DIV/0!</v>
      </c>
      <c r="G31" s="11">
        <f>digestion_page!B29</f>
        <v>0</v>
      </c>
      <c r="H31" s="11">
        <f>digestion_page!C29</f>
        <v>250</v>
      </c>
      <c r="I31" s="11">
        <f>(LEFT(B31,FIND("/",B31)-1)/RIGHT(B31,LEN(B31)-FIND("/", B31)))</f>
        <v>1</v>
      </c>
    </row>
    <row r="32" spans="1:9" x14ac:dyDescent="0.3">
      <c r="A32" s="4" t="s">
        <v>21</v>
      </c>
      <c r="B32" s="5" t="str">
        <f>"1/1"</f>
        <v>1/1</v>
      </c>
      <c r="C32" s="10"/>
      <c r="D32" s="9" t="e">
        <f>((C32)*(H32)*(I32))/(G32*$F$7)</f>
        <v>#DIV/0!</v>
      </c>
      <c r="E32" s="9" t="e">
        <f>D32/10000</f>
        <v>#DIV/0!</v>
      </c>
      <c r="G32" s="11">
        <f>digestion_page!B30</f>
        <v>0</v>
      </c>
      <c r="H32" s="11">
        <f>digestion_page!C30</f>
        <v>250</v>
      </c>
      <c r="I32" s="11">
        <f>(LEFT(B32,FIND("/",B32)-1)/RIGHT(B32,LEN(B32)-FIND("/", B32)))</f>
        <v>1</v>
      </c>
    </row>
    <row r="33" spans="1:9" x14ac:dyDescent="0.3">
      <c r="A33" s="4" t="s">
        <v>22</v>
      </c>
      <c r="B33" s="5" t="str">
        <f>"1/1"</f>
        <v>1/1</v>
      </c>
      <c r="C33" s="10"/>
      <c r="D33" s="9" t="e">
        <f>((C33)*(H33)*(I33))/(G33*$F$7)</f>
        <v>#DIV/0!</v>
      </c>
      <c r="E33" s="9" t="e">
        <f>D33/10000</f>
        <v>#DIV/0!</v>
      </c>
      <c r="G33" s="11">
        <f>digestion_page!B31</f>
        <v>0</v>
      </c>
      <c r="H33" s="11">
        <f>digestion_page!C31</f>
        <v>250</v>
      </c>
      <c r="I33" s="11">
        <f>(LEFT(B33,FIND("/",B33)-1)/RIGHT(B33,LEN(B33)-FIND("/", B33)))</f>
        <v>1</v>
      </c>
    </row>
    <row r="35" spans="1:9" x14ac:dyDescent="0.3">
      <c r="A35" s="18" t="s">
        <v>52</v>
      </c>
      <c r="B35" s="18"/>
      <c r="C35" s="12" t="e">
        <f>AVERAGE(D31:D33)</f>
        <v>#DIV/0!</v>
      </c>
    </row>
    <row r="36" spans="1:9" x14ac:dyDescent="0.3">
      <c r="A36" s="18" t="s">
        <v>52</v>
      </c>
      <c r="B36" s="18"/>
      <c r="C36" s="13" t="e">
        <f>AVERAGE(E31:E33)</f>
        <v>#DIV/0!</v>
      </c>
    </row>
    <row r="37" spans="1:9" x14ac:dyDescent="0.3">
      <c r="A37" s="18" t="s">
        <v>53</v>
      </c>
      <c r="B37" s="18"/>
      <c r="C37" s="19" t="s">
        <v>54</v>
      </c>
      <c r="D37" s="19"/>
      <c r="E37" s="19"/>
      <c r="F37" s="19"/>
    </row>
    <row r="39" spans="1:9" x14ac:dyDescent="0.3">
      <c r="B39" s="7" t="s">
        <v>45</v>
      </c>
      <c r="C39" s="20"/>
      <c r="D39" s="20"/>
      <c r="E39" s="20"/>
      <c r="F39" s="20"/>
    </row>
    <row r="40" spans="1:9" x14ac:dyDescent="0.3">
      <c r="C40" s="20"/>
      <c r="D40" s="20"/>
      <c r="E40" s="20"/>
      <c r="F40" s="20"/>
    </row>
    <row r="41" spans="1:9" x14ac:dyDescent="0.3">
      <c r="C41" s="20"/>
      <c r="D41" s="20"/>
      <c r="E41" s="20"/>
      <c r="F41" s="20"/>
    </row>
  </sheetData>
  <mergeCells count="16">
    <mergeCell ref="C39:F41"/>
    <mergeCell ref="A29:B29"/>
    <mergeCell ref="A35:B35"/>
    <mergeCell ref="A36:B36"/>
    <mergeCell ref="A37:B37"/>
    <mergeCell ref="C37:F37"/>
    <mergeCell ref="A19:B19"/>
    <mergeCell ref="A25:B25"/>
    <mergeCell ref="A26:B26"/>
    <mergeCell ref="A27:B27"/>
    <mergeCell ref="C27:F27"/>
    <mergeCell ref="A9:B9"/>
    <mergeCell ref="A15:B15"/>
    <mergeCell ref="A16:B16"/>
    <mergeCell ref="A17:B17"/>
    <mergeCell ref="C17:F17"/>
  </mergeCells>
  <conditionalFormatting sqref="B5">
    <cfRule type="containsBlanks" dxfId="3" priority="1">
      <formula>LEN(TRIM(B5))=0</formula>
    </cfRule>
  </conditionalFormatting>
  <conditionalFormatting sqref="C17:F17">
    <cfRule type="containsBlanks" dxfId="2" priority="2">
      <formula>LEN(TRIM(C17))=0</formula>
    </cfRule>
  </conditionalFormatting>
  <conditionalFormatting sqref="C27:F27">
    <cfRule type="containsBlanks" dxfId="1" priority="3">
      <formula>LEN(TRIM(C27))=0</formula>
    </cfRule>
  </conditionalFormatting>
  <conditionalFormatting sqref="C37:F37">
    <cfRule type="containsBlanks" dxfId="0" priority="4">
      <formula>LEN(TRIM(C37))=0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7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4" t="s">
        <v>55</v>
      </c>
    </row>
    <row r="3" spans="1:1" x14ac:dyDescent="0.3">
      <c r="A3" s="14" t="s">
        <v>56</v>
      </c>
    </row>
    <row r="5" spans="1:1" x14ac:dyDescent="0.3">
      <c r="A5" s="14" t="s">
        <v>57</v>
      </c>
    </row>
    <row r="7" spans="1:1" x14ac:dyDescent="0.3">
      <c r="A7" s="14" t="s">
        <v>58</v>
      </c>
    </row>
    <row r="8" spans="1:1" x14ac:dyDescent="0.3">
      <c r="A8" s="14" t="s">
        <v>59</v>
      </c>
    </row>
    <row r="9" spans="1:1" x14ac:dyDescent="0.3">
      <c r="A9" s="14" t="s">
        <v>60</v>
      </c>
    </row>
    <row r="11" spans="1:1" x14ac:dyDescent="0.3">
      <c r="A11" s="14" t="s">
        <v>61</v>
      </c>
    </row>
    <row r="13" spans="1:1" x14ac:dyDescent="0.3">
      <c r="A13" s="14" t="s">
        <v>62</v>
      </c>
    </row>
    <row r="15" spans="1:1" x14ac:dyDescent="0.3">
      <c r="A15" s="14" t="s">
        <v>63</v>
      </c>
    </row>
    <row r="17" spans="1:1" x14ac:dyDescent="0.3">
      <c r="A17" s="14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200120001</vt:lpstr>
      <vt:lpstr>200120002</vt:lpstr>
      <vt:lpstr>200120003</vt:lpstr>
      <vt:lpstr>200120004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2026-07-09T02:16:50Z</dcterms:created>
  <dcterms:modified xsi:type="dcterms:W3CDTF">2026-07-09T02:17:44Z</dcterms:modified>
</cp:coreProperties>
</file>