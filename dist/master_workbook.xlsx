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<sst xmlns="http://schemas.openxmlformats.org/spreadsheetml/2006/main" count="57" uniqueCount="44">
  <si>
    <t>Date:</t>
  </si>
  <si>
    <t>Request ID:</t>
  </si>
  <si>
    <t>1000</t>
  </si>
  <si>
    <t>Microwave</t>
  </si>
  <si>
    <t>Analyte(s)</t>
  </si>
  <si>
    <t>Ca, Ti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</si>
  <si>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</si>
  <si>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</si>
  <si>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</si>
  <si>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</si>
  <si>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</si>
  <si>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</si>
  <si>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</si>
  <si>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</si>
  <si>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</si>
  <si>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</si>
  <si>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</si>
  <si>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</si>
  <si>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</si>
  <si>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20012_1</t>
  </si>
  <si>
    <t>20012_2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</si>
  <si>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</si>
  <si>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</si>
  <si>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</si>
  <si>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</si>
  <si>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</si>
  <si>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</si>
  <si>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</si>
  <si>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</si>
  <si>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</si>
  <si>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</si>
  <si>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Ti ICP analysis</t>
  </si>
  <si>
    <t>Ti_ppm</t>
  </si>
  <si>
    <t>%Ti</t>
  </si>
  <si>
    <t>ti result:</t>
  </si>
  <si>
    <t>ti oxide factor:</t>
  </si>
  <si>
    <t>ti oxide result:</t>
  </si>
  <si>
    <t>ti lot:</t>
  </si>
  <si>
    <t>Manufacturer: Assurance, 28-35CAY exp: 2026-10-30</t>
  </si>
  <si>
    <t>Manufacturer: Assurance, 27-189TIT exp: 2026-08-30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</si>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</sst>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46251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17" width="7.7109375" customWidth="1"/>
  </cols>
  <sheetData>
    <row r="1" spans="1:9">
      <c r="A1" s="1" t="s">
        <v>0</v>
      </c>
      <c r="B1" s="2">
        <v>46251</v>
      </c>
    </row>
    <row r="2" spans="1:9">
      <c r="A2" s="1" t="s">
        <v>1</v>
      </c>
      <c r="B2" s="3" t="s">
        <v>2</v>
      </c>
    </row>
    <row r="5" spans="1:9">
      <c r="A5" s="3" t="s">
        <v>21</v>
      </c>
      <c r="B5" s="3"/>
    </row>
    <row r="6" spans="1:9">
      <c r="A6" s="5" t="s">
        <v>22</v>
      </c>
      <c r="B6" s="5" t="s">
        <v>23</v>
      </c>
      <c r="C6" s="5" t="s">
        <v>24</v>
      </c>
      <c r="D6" s="5" t="s">
        <v>25</v>
      </c>
      <c r="E6" s="5" t="s">
        <v>26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27</v>
      </c>
      <c r="B10" s="12"/>
      <c r="C10" s="13">
        <f>AVERAGE(D7:D8)</f>
        <v>0</v>
      </c>
    </row>
    <row r="11" spans="1:9">
      <c r="A11" s="12" t="s">
        <v>27</v>
      </c>
      <c r="B11" s="12"/>
      <c r="C11" s="14">
        <f>AVERAGE(E7:E8)</f>
        <v>0</v>
      </c>
    </row>
    <row r="12" spans="1:9">
      <c r="A12" s="12" t="s">
        <v>28</v>
      </c>
      <c r="B12" s="12"/>
      <c r="C12" s="3"/>
    </row>
    <row r="13" spans="1:9">
      <c r="A13" s="12" t="s">
        <v>29</v>
      </c>
      <c r="B13" s="12"/>
      <c r="C13" s="14">
        <f>AVERAGE(E7:E8)*(C12)</f>
        <v>0</v>
      </c>
    </row>
    <row r="14" spans="1:9">
      <c r="A14" s="12" t="s">
        <v>30</v>
      </c>
      <c r="B14" s="12"/>
      <c r="C14" s="15" t="s">
        <v>38</v>
      </c>
      <c r="D14" s="15"/>
      <c r="E14" s="15"/>
      <c r="F14" s="15"/>
    </row>
    <row r="16" spans="1:9">
      <c r="A16" s="3" t="s">
        <v>31</v>
      </c>
      <c r="B16" s="3"/>
    </row>
    <row r="17" spans="1:9">
      <c r="A17" s="5" t="s">
        <v>22</v>
      </c>
      <c r="B17" s="5" t="s">
        <v>23</v>
      </c>
      <c r="C17" s="5" t="s">
        <v>24</v>
      </c>
      <c r="D17" s="5" t="s">
        <v>32</v>
      </c>
      <c r="E17" s="5" t="s">
        <v>33</v>
      </c>
    </row>
    <row r="18" spans="1:9">
      <c r="A18" s="5" t="s">
        <v>19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digestion_page!B17</f>
        <v>0</v>
      </c>
      <c r="H18" s="11">
        <f>digestion_page!C17</f>
        <v>0</v>
      </c>
      <c r="I18" s="11">
        <f>(LEFT(B18,FIND("/",B18)-1)/RIGHT(B18,LEN(B18)-FIND("/", B18)))</f>
        <v>0</v>
      </c>
    </row>
    <row r="19" spans="1:9">
      <c r="A19" s="5" t="s">
        <v>20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digestion_page!B18</f>
        <v>0</v>
      </c>
      <c r="H19" s="11">
        <f>digestion_page!C18</f>
        <v>0</v>
      </c>
      <c r="I19" s="11">
        <f>(LEFT(B19,FIND("/",B19)-1)/RIGHT(B19,LEN(B19)-FIND("/", B19)))</f>
        <v>0</v>
      </c>
    </row>
    <row r="21" spans="1:9">
      <c r="A21" s="12" t="s">
        <v>34</v>
      </c>
      <c r="B21" s="12"/>
      <c r="C21" s="13">
        <f>AVERAGE(D18:D19)</f>
        <v>0</v>
      </c>
    </row>
    <row r="22" spans="1:9">
      <c r="A22" s="12" t="s">
        <v>34</v>
      </c>
      <c r="B22" s="12"/>
      <c r="C22" s="14">
        <f>AVERAGE(E18:E19)</f>
        <v>0</v>
      </c>
    </row>
    <row r="23" spans="1:9">
      <c r="A23" s="12" t="s">
        <v>35</v>
      </c>
      <c r="B23" s="12"/>
      <c r="C23" s="3"/>
    </row>
    <row r="24" spans="1:9">
      <c r="A24" s="12" t="s">
        <v>36</v>
      </c>
      <c r="B24" s="12"/>
      <c r="C24" s="14">
        <f>AVERAGE(E18:E19)*(C23)</f>
        <v>0</v>
      </c>
    </row>
    <row r="25" spans="1:9">
      <c r="A25" s="12" t="s">
        <v>37</v>
      </c>
      <c r="B25" s="12"/>
      <c r="C25" s="15" t="s">
        <v>39</v>
      </c>
      <c r="D25" s="15"/>
      <c r="E25" s="15"/>
      <c r="F25" s="15"/>
    </row>
    <row r="27" spans="1:9">
      <c r="B27" s="12" t="s">
        <v>40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7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41</v>
      </c>
    </row>
    <row r="3" spans="1:1">
      <c r="A3" s="17" t="s">
        <v>42</v>
      </c>
    </row>
    <row r="5" spans="1:1">
      <c r="A5" s="17" t="s">
        <v>43</v>
      </c>
    </row>
    <row r="7" spans="1:1">
      <c r="A7" s="17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2026-08-17T23:03:10Z</dcterms:created>
  <dcterms:modified xsi:type="dcterms:W3CDTF">2026-08-17T23:03:10Z</dcterms:modified>
</cp:coreProperties>
</file>