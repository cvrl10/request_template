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dist\"/>
    </mc:Choice>
  </mc:AlternateContent>
  <xr:revisionPtr revIDLastSave="0" documentId="13_ncr:1_{72FC26BB-D154-416A-8D51-8F5609A4DD2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igestion_page" sheetId="1" r:id="rId1"/>
    <sheet name="200120000" sheetId="2" r:id="rId2"/>
    <sheet name="formula_p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  <c r="G8" i="2"/>
  <c r="B8" i="2"/>
  <c r="I8" i="2" s="1"/>
  <c r="H7" i="2"/>
  <c r="G7" i="2"/>
  <c r="B7" i="2"/>
  <c r="I7" i="2" s="1"/>
  <c r="D7" i="2" l="1"/>
  <c r="D8" i="2"/>
  <c r="E8" i="2" s="1"/>
  <c r="C10" i="2" l="1"/>
  <c r="E7" i="2"/>
  <c r="C13" i="2" l="1"/>
  <c r="C11" i="2"/>
</calcChain>
</file>

<file path=xl/sharedStrings.xml><?xml version="1.0" encoding="utf-8"?>
<sst xmlns="http://schemas.openxmlformats.org/spreadsheetml/2006/main" count="42" uniqueCount="36">
  <si>
    <t>Date:</t>
  </si>
  <si>
    <t>Request ID:</t>
  </si>
  <si>
    <t>TEST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</si>
  <si>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</si>
  <si>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</si>
  <si>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</si>
  <si>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</si>
  <si>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</si>
  <si>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</si>
  <si>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</si>
  <si>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</si>
  <si>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</si>
  <si>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</si>
  <si>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</si>
  <si>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</si>
  <si>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</si>
  <si>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</si>
  <si>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</si>
  <si>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</si>
  <si>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200120000_1</t>
  </si>
  <si>
    <t>200120000_2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</si>
  <si>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</si>
  <si>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</si>
  <si>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</si>
  <si>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</si>
  <si>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</si>
  <si>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</si>
  <si>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</si>
  <si>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</si>
  <si>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</si>
  <si>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</si>
  <si>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Manufacturer: Assurance, 28-35CAY exp: 2026-10-30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</si>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</sst>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0"/>
    <numFmt numFmtId="166" formatCode="0.000"/>
    <numFmt numFmtId="167" formatCode="0.00&quot; ppm&quot;"/>
    <numFmt numFmtId="168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workbookViewId="0">
      <selection activeCell="B17" sqref="B17:B18"/>
    </sheetView>
  </sheetViews>
  <sheetFormatPr defaultRowHeight="15" x14ac:dyDescent="0.2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 x14ac:dyDescent="0.25">
      <c r="A1" s="1" t="s">
        <v>0</v>
      </c>
      <c r="B1" s="2">
        <v>46171</v>
      </c>
    </row>
    <row r="2" spans="1:5" x14ac:dyDescent="0.25">
      <c r="A2" s="1" t="s">
        <v>1</v>
      </c>
      <c r="B2" s="3" t="s">
        <v>2</v>
      </c>
    </row>
    <row r="5" spans="1:5" x14ac:dyDescent="0.25">
      <c r="A5" s="14" t="s">
        <v>3</v>
      </c>
      <c r="B5" s="14"/>
      <c r="C5" s="14"/>
      <c r="D5" s="14"/>
      <c r="E5" s="14"/>
    </row>
    <row r="6" spans="1:5" x14ac:dyDescent="0.25">
      <c r="A6" s="4" t="s">
        <v>4</v>
      </c>
      <c r="B6" s="15" t="s">
        <v>5</v>
      </c>
      <c r="C6" s="15"/>
      <c r="D6" s="15"/>
      <c r="E6" s="15"/>
    </row>
    <row r="7" spans="1:5" x14ac:dyDescent="0.25">
      <c r="A7" s="4" t="s">
        <v>6</v>
      </c>
      <c r="B7" s="15"/>
      <c r="C7" s="15"/>
      <c r="D7" s="15"/>
      <c r="E7" s="15"/>
    </row>
    <row r="8" spans="1:5" x14ac:dyDescent="0.25">
      <c r="A8" s="4" t="s">
        <v>7</v>
      </c>
      <c r="B8" s="15"/>
      <c r="C8" s="15"/>
      <c r="D8" s="15"/>
      <c r="E8" s="15"/>
    </row>
    <row r="9" spans="1:5" x14ac:dyDescent="0.25">
      <c r="A9" s="4" t="s">
        <v>8</v>
      </c>
      <c r="B9" s="16"/>
      <c r="C9" s="16"/>
      <c r="D9" s="16"/>
      <c r="E9" s="16"/>
    </row>
    <row r="10" spans="1:5" x14ac:dyDescent="0.25">
      <c r="A10" s="4" t="s">
        <v>9</v>
      </c>
      <c r="B10" s="15"/>
      <c r="C10" s="15"/>
      <c r="D10" s="15"/>
      <c r="E10" s="15"/>
    </row>
    <row r="11" spans="1:5" x14ac:dyDescent="0.25">
      <c r="A11" s="4" t="s">
        <v>10</v>
      </c>
      <c r="B11" s="16"/>
      <c r="C11" s="16"/>
      <c r="D11" s="16"/>
      <c r="E11" s="16"/>
    </row>
    <row r="12" spans="1:5" x14ac:dyDescent="0.25">
      <c r="A12" s="4" t="s">
        <v>11</v>
      </c>
      <c r="B12" s="4" t="s">
        <v>12</v>
      </c>
      <c r="C12" s="4" t="s">
        <v>13</v>
      </c>
      <c r="D12" s="4" t="s">
        <v>14</v>
      </c>
      <c r="E12" s="4" t="s">
        <v>15</v>
      </c>
    </row>
    <row r="13" spans="1:5" x14ac:dyDescent="0.2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 x14ac:dyDescent="0.2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 x14ac:dyDescent="0.25">
      <c r="A15" s="5"/>
      <c r="B15" s="5"/>
      <c r="C15" s="5"/>
      <c r="D15" s="5"/>
      <c r="E15" s="5"/>
    </row>
    <row r="16" spans="1:5" x14ac:dyDescent="0.25">
      <c r="A16" s="4" t="s">
        <v>16</v>
      </c>
      <c r="B16" s="4" t="s">
        <v>17</v>
      </c>
      <c r="C16" s="4" t="s">
        <v>18</v>
      </c>
    </row>
    <row r="17" spans="1:3" x14ac:dyDescent="0.25">
      <c r="A17" s="4" t="s">
        <v>19</v>
      </c>
      <c r="B17" s="6">
        <v>0.1</v>
      </c>
      <c r="C17" s="5">
        <v>250</v>
      </c>
    </row>
    <row r="18" spans="1:3" x14ac:dyDescent="0.25">
      <c r="A18" s="4" t="s">
        <v>20</v>
      </c>
      <c r="B18" s="6">
        <v>0.1</v>
      </c>
      <c r="C18" s="5">
        <v>250</v>
      </c>
    </row>
  </sheetData>
  <mergeCells count="7">
    <mergeCell ref="B10:E10"/>
    <mergeCell ref="B11:E11"/>
    <mergeCell ref="A5:E5"/>
    <mergeCell ref="B6:E6"/>
    <mergeCell ref="B7:E7"/>
    <mergeCell ref="B8:E8"/>
    <mergeCell ref="B9:E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tabSelected="1" workbookViewId="0"/>
  </sheetViews>
  <sheetFormatPr defaultRowHeight="15" x14ac:dyDescent="0.25"/>
  <cols>
    <col min="1" max="1" width="12" bestFit="1" customWidth="1"/>
    <col min="2" max="2" width="10.7109375" bestFit="1" customWidth="1"/>
    <col min="3" max="3" width="12.7109375" customWidth="1"/>
    <col min="4" max="4" width="8.140625" bestFit="1" customWidth="1"/>
    <col min="5" max="5" width="7.7109375" customWidth="1"/>
    <col min="6" max="6" width="17.5703125" customWidth="1"/>
  </cols>
  <sheetData>
    <row r="1" spans="1:9" x14ac:dyDescent="0.25">
      <c r="A1" s="1" t="s">
        <v>0</v>
      </c>
      <c r="B1" s="2">
        <v>46171</v>
      </c>
    </row>
    <row r="2" spans="1:9" x14ac:dyDescent="0.25">
      <c r="A2" s="1" t="s">
        <v>1</v>
      </c>
      <c r="B2" s="3" t="s">
        <v>2</v>
      </c>
    </row>
    <row r="5" spans="1:9" x14ac:dyDescent="0.25">
      <c r="A5" s="17" t="s">
        <v>21</v>
      </c>
      <c r="B5" s="17"/>
    </row>
    <row r="6" spans="1:9" x14ac:dyDescent="0.25">
      <c r="A6" s="4" t="s">
        <v>22</v>
      </c>
      <c r="B6" s="4" t="s">
        <v>23</v>
      </c>
      <c r="C6" s="4" t="s">
        <v>24</v>
      </c>
      <c r="D6" s="4" t="s">
        <v>25</v>
      </c>
      <c r="E6" s="4" t="s">
        <v>26</v>
      </c>
    </row>
    <row r="7" spans="1:9" x14ac:dyDescent="0.25">
      <c r="A7" s="4" t="s">
        <v>19</v>
      </c>
      <c r="B7" s="5" t="str">
        <f>"1/1"</f>
        <v>1/1</v>
      </c>
      <c r="C7" s="7"/>
      <c r="D7" s="8">
        <f>((C7)*(H7)*(I7))/(G7*1)</f>
        <v>0</v>
      </c>
      <c r="E7" s="8">
        <f>D7/10000</f>
        <v>0</v>
      </c>
      <c r="G7" s="9">
        <f>digestion_page!B17</f>
        <v>0.1</v>
      </c>
      <c r="H7" s="9">
        <f>digestion_page!C17</f>
        <v>250</v>
      </c>
      <c r="I7" s="9">
        <f>(LEFT(B7,FIND("/",B7)-1)/RIGHT(B7,LEN(B7)-FIND("/", B7)))</f>
        <v>1</v>
      </c>
    </row>
    <row r="8" spans="1:9" x14ac:dyDescent="0.25">
      <c r="A8" s="4" t="s">
        <v>20</v>
      </c>
      <c r="B8" s="5" t="str">
        <f>"1/1"</f>
        <v>1/1</v>
      </c>
      <c r="C8" s="7"/>
      <c r="D8" s="8">
        <f>((C8)*(H8)*(I8))/(G8*1)</f>
        <v>0</v>
      </c>
      <c r="E8" s="8">
        <f>D8/10000</f>
        <v>0</v>
      </c>
      <c r="G8" s="9">
        <f>digestion_page!B18</f>
        <v>0.1</v>
      </c>
      <c r="H8" s="9">
        <f>digestion_page!C18</f>
        <v>250</v>
      </c>
      <c r="I8" s="9">
        <f>(LEFT(B8,FIND("/",B8)-1)/RIGHT(B8,LEN(B8)-FIND("/", B8)))</f>
        <v>1</v>
      </c>
    </row>
    <row r="10" spans="1:9" x14ac:dyDescent="0.25">
      <c r="A10" s="18" t="s">
        <v>27</v>
      </c>
      <c r="B10" s="18"/>
      <c r="C10" s="11">
        <f>AVERAGE(D7:D8)</f>
        <v>0</v>
      </c>
    </row>
    <row r="11" spans="1:9" x14ac:dyDescent="0.25">
      <c r="A11" s="18" t="s">
        <v>27</v>
      </c>
      <c r="B11" s="18"/>
      <c r="C11" s="12">
        <f>AVERAGE(E7:E8)</f>
        <v>0</v>
      </c>
    </row>
    <row r="12" spans="1:9" x14ac:dyDescent="0.25">
      <c r="A12" s="18" t="s">
        <v>28</v>
      </c>
      <c r="B12" s="18"/>
      <c r="C12" s="3"/>
    </row>
    <row r="13" spans="1:9" x14ac:dyDescent="0.25">
      <c r="A13" s="18" t="s">
        <v>29</v>
      </c>
      <c r="B13" s="18"/>
      <c r="C13" s="12">
        <f>AVERAGE(E7:E8)*(C12)</f>
        <v>0</v>
      </c>
    </row>
    <row r="14" spans="1:9" x14ac:dyDescent="0.25">
      <c r="A14" s="18" t="s">
        <v>30</v>
      </c>
      <c r="B14" s="18"/>
      <c r="C14" s="19" t="s">
        <v>31</v>
      </c>
      <c r="D14" s="19"/>
      <c r="E14" s="19"/>
      <c r="F14" s="19"/>
    </row>
    <row r="16" spans="1:9" x14ac:dyDescent="0.25">
      <c r="B16" s="10" t="s">
        <v>32</v>
      </c>
      <c r="C16" s="20"/>
      <c r="D16" s="20"/>
      <c r="E16" s="20"/>
      <c r="F16" s="20"/>
    </row>
    <row r="17" spans="3:6" x14ac:dyDescent="0.25">
      <c r="C17" s="20"/>
      <c r="D17" s="20"/>
      <c r="E17" s="20"/>
      <c r="F17" s="20"/>
    </row>
    <row r="18" spans="3:6" x14ac:dyDescent="0.25">
      <c r="C18" s="20"/>
      <c r="D18" s="20"/>
      <c r="E18" s="20"/>
      <c r="F18" s="20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5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3" t="s">
        <v>33</v>
      </c>
    </row>
    <row r="3" spans="1:1" x14ac:dyDescent="0.25">
      <c r="A3" s="13" t="s">
        <v>34</v>
      </c>
    </row>
    <row r="5" spans="1:1" x14ac:dyDescent="0.25">
      <c r="A5" s="13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200120000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2026-05-29T17:35:06Z</dcterms:created>
  <dcterms:modified xsi:type="dcterms:W3CDTF">2026-05-29T17:35:36Z</dcterms:modified>
</cp:coreProperties>
</file>