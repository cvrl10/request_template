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<sst xmlns="http://schemas.openxmlformats.org/spreadsheetml/2006/main" count="67" uniqueCount="40">
  <si>
    <t>Date:</t>
  </si>
  <si>
    <t>Request ID:</t>
  </si>
  <si>
    <t>100048600</t>
  </si>
  <si>
    <t>Hotplate</t>
  </si>
  <si>
    <t>Analyte(s)</t>
  </si>
  <si>
    <t>Ca</t>
  </si>
  <si>
    <t>SOP#</t>
  </si>
  <si>
    <t>Cocktail</t>
  </si>
  <si>
    <t>sample(s)</t>
  </si>
  <si>
    <t>weight (g)</t>
  </si>
  <si>
    <t>volume (mL)</t>
  </si>
  <si>
    <t>200120001_1</t>
  </si>
  <si>
    <t>200120002_1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</si>
  <si>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</si>
  <si>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</si>
  <si>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</si>
  <si>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</si>
  <si>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</si>
  <si>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</si>
  <si>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</si>
  <si>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Ca ICP analysis</t>
  </si>
  <si>
    <t>Dilution</t>
  </si>
  <si>
    <t>conc. [mg/L]</t>
  </si>
  <si>
    <t>Ca_ppm [dried]</t>
  </si>
  <si>
    <t>%Ca [dried]</t>
  </si>
  <si>
    <t>ca result:</t>
  </si>
  <si>
    <t>ca lot:</t>
  </si>
  <si>
    <t>Manufacturer: Assurance, 28-35CAY exp: 2026-10-30</t>
  </si>
  <si>
    <t>Note(s):</t>
  </si>
  <si>
    <t>200120002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</si>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</sst>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46211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3.8554687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46211</v>
      </c>
    </row>
    <row r="2" spans="1:9">
      <c r="A2" s="1" t="s">
        <v>1</v>
      </c>
      <c r="B2" s="3" t="s">
        <v>2</v>
      </c>
    </row>
    <row r="5" spans="1:9">
      <c r="A5" s="8" t="s">
        <v>13</v>
      </c>
      <c r="B5" s="9"/>
    </row>
    <row r="6" spans="1:9">
      <c r="A6" s="5" t="s">
        <v>14</v>
      </c>
      <c r="B6" s="5" t="s">
        <v>15</v>
      </c>
      <c r="C6" s="5" t="s">
        <v>16</v>
      </c>
      <c r="D6" s="5">
        <f>"after "&amp;B5&amp;" °C"</f>
        <v>0</v>
      </c>
      <c r="E6" s="5" t="s">
        <v>17</v>
      </c>
      <c r="F6" s="5" t="s">
        <v>18</v>
      </c>
    </row>
    <row r="7" spans="1:9">
      <c r="A7" s="5" t="s">
        <v>19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20</v>
      </c>
      <c r="B9" s="3"/>
    </row>
    <row r="10" spans="1:9">
      <c r="A10" s="5" t="s">
        <v>14</v>
      </c>
      <c r="B10" s="5" t="s">
        <v>21</v>
      </c>
      <c r="C10" s="5" t="s">
        <v>22</v>
      </c>
      <c r="D10" s="5" t="s">
        <v>23</v>
      </c>
      <c r="E10" s="5" t="s">
        <v>24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3" spans="1:9">
      <c r="A13" s="8" t="s">
        <v>25</v>
      </c>
      <c r="B13" s="8"/>
      <c r="C13" s="13">
        <f>AVERAGE(D11:D11)</f>
        <v>0</v>
      </c>
    </row>
    <row r="14" spans="1:9">
      <c r="A14" s="8" t="s">
        <v>25</v>
      </c>
      <c r="B14" s="8"/>
      <c r="C14" s="14">
        <f>AVERAGE(E11:E11)</f>
        <v>0</v>
      </c>
    </row>
    <row r="15" spans="1:9">
      <c r="A15" s="8" t="s">
        <v>26</v>
      </c>
      <c r="B15" s="8"/>
      <c r="C15" s="15" t="s">
        <v>27</v>
      </c>
      <c r="D15" s="15"/>
      <c r="E15" s="15"/>
      <c r="F15" s="15"/>
    </row>
    <row r="17" spans="2:6">
      <c r="B17" s="8" t="s">
        <v>28</v>
      </c>
      <c r="C17" s="16"/>
      <c r="D17" s="16"/>
      <c r="E17" s="16"/>
      <c r="F17" s="16"/>
    </row>
    <row r="18" spans="2:6">
      <c r="C18" s="16"/>
      <c r="D18" s="16"/>
      <c r="E18" s="16"/>
      <c r="F18" s="16"/>
    </row>
    <row r="19" spans="2:6">
      <c r="C19" s="16"/>
      <c r="D19" s="16"/>
      <c r="E19" s="16"/>
      <c r="F19" s="16"/>
    </row>
  </sheetData>
  <mergeCells count="6">
    <mergeCell ref="A9:B9"/>
    <mergeCell ref="A13:B13"/>
    <mergeCell ref="A14:B14"/>
    <mergeCell ref="A15:B15"/>
    <mergeCell ref="C15:F15"/>
    <mergeCell ref="C17:F19"/>
  </mergeCells>
  <conditionalFormatting sqref="B5">
    <cfRule type="containsBlanks" dxfId="0" priority="1">
      <formula>LEN(TRIM(B5))=0</formula>
    </cfRule>
  </conditionalFormatting>
  <conditionalFormatting sqref="C15:F15">
    <cfRule type="containsBlanks" dxfId="0" priority="2">
      <formula>LEN(TRIM(C15))=0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3.8554687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46211</v>
      </c>
    </row>
    <row r="2" spans="1:9">
      <c r="A2" s="1" t="s">
        <v>1</v>
      </c>
      <c r="B2" s="3" t="s">
        <v>2</v>
      </c>
    </row>
    <row r="5" spans="1:9">
      <c r="A5" s="8" t="s">
        <v>13</v>
      </c>
      <c r="B5" s="9"/>
    </row>
    <row r="6" spans="1:9">
      <c r="A6" s="5" t="s">
        <v>14</v>
      </c>
      <c r="B6" s="5" t="s">
        <v>15</v>
      </c>
      <c r="C6" s="5" t="s">
        <v>16</v>
      </c>
      <c r="D6" s="5">
        <f>"after "&amp;B5&amp;" °C"</f>
        <v>0</v>
      </c>
      <c r="E6" s="5" t="s">
        <v>17</v>
      </c>
      <c r="F6" s="5" t="s">
        <v>18</v>
      </c>
    </row>
    <row r="7" spans="1:9">
      <c r="A7" s="5" t="s">
        <v>29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20</v>
      </c>
      <c r="B9" s="3"/>
    </row>
    <row r="10" spans="1:9">
      <c r="A10" s="5" t="s">
        <v>14</v>
      </c>
      <c r="B10" s="5" t="s">
        <v>21</v>
      </c>
      <c r="C10" s="5" t="s">
        <v>22</v>
      </c>
      <c r="D10" s="5" t="s">
        <v>23</v>
      </c>
      <c r="E10" s="5" t="s">
        <v>24</v>
      </c>
    </row>
    <row r="11" spans="1:9">
      <c r="A11" s="5" t="s">
        <v>12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digestion_page!B11</f>
        <v>0</v>
      </c>
      <c r="H11" s="12">
        <f>digestion_page!C11</f>
        <v>0</v>
      </c>
      <c r="I11" s="12">
        <f>(LEFT(B11,FIND("/",B11)-1)/RIGHT(B11,LEN(B11)-FIND("/", B11)))</f>
        <v>0</v>
      </c>
    </row>
    <row r="13" spans="1:9">
      <c r="A13" s="8" t="s">
        <v>25</v>
      </c>
      <c r="B13" s="8"/>
      <c r="C13" s="13">
        <f>AVERAGE(D11:D11)</f>
        <v>0</v>
      </c>
    </row>
    <row r="14" spans="1:9">
      <c r="A14" s="8" t="s">
        <v>25</v>
      </c>
      <c r="B14" s="8"/>
      <c r="C14" s="14">
        <f>AVERAGE(E11:E11)</f>
        <v>0</v>
      </c>
    </row>
    <row r="15" spans="1:9">
      <c r="A15" s="8" t="s">
        <v>26</v>
      </c>
      <c r="B15" s="8"/>
      <c r="C15" s="15" t="s">
        <v>27</v>
      </c>
      <c r="D15" s="15"/>
      <c r="E15" s="15"/>
      <c r="F15" s="15"/>
    </row>
    <row r="17" spans="2:6">
      <c r="B17" s="8" t="s">
        <v>28</v>
      </c>
      <c r="C17" s="16"/>
      <c r="D17" s="16"/>
      <c r="E17" s="16"/>
      <c r="F17" s="16"/>
    </row>
    <row r="18" spans="2:6">
      <c r="C18" s="16"/>
      <c r="D18" s="16"/>
      <c r="E18" s="16"/>
      <c r="F18" s="16"/>
    </row>
    <row r="19" spans="2:6">
      <c r="C19" s="16"/>
      <c r="D19" s="16"/>
      <c r="E19" s="16"/>
      <c r="F19" s="16"/>
    </row>
  </sheetData>
  <mergeCells count="6">
    <mergeCell ref="A9:B9"/>
    <mergeCell ref="A13:B13"/>
    <mergeCell ref="A14:B14"/>
    <mergeCell ref="A15:B15"/>
    <mergeCell ref="C15:F15"/>
    <mergeCell ref="C17:F19"/>
  </mergeCells>
  <conditionalFormatting sqref="B5">
    <cfRule type="containsBlanks" dxfId="0" priority="1">
      <formula>LEN(TRIM(B5))=0</formula>
    </cfRule>
  </conditionalFormatting>
  <conditionalFormatting sqref="C15:F15">
    <cfRule type="containsBlanks" dxfId="0" priority="2">
      <formula>LEN(TRIM(C15))=0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30</v>
      </c>
    </row>
    <row r="3" spans="1:1">
      <c r="A3" s="17" t="s">
        <v>31</v>
      </c>
    </row>
    <row r="5" spans="1:1">
      <c r="A5" s="17" t="s">
        <v>32</v>
      </c>
    </row>
    <row r="7" spans="1:1">
      <c r="A7" s="17" t="s">
        <v>33</v>
      </c>
    </row>
    <row r="8" spans="1:1">
      <c r="A8" s="17" t="s">
        <v>34</v>
      </c>
    </row>
    <row r="9" spans="1:1">
      <c r="A9" s="17" t="s">
        <v>35</v>
      </c>
    </row>
    <row r="11" spans="1:1">
      <c r="A11" s="17" t="s">
        <v>36</v>
      </c>
    </row>
    <row r="13" spans="1:1">
      <c r="A13" s="17" t="s">
        <v>37</v>
      </c>
    </row>
    <row r="15" spans="1:1">
      <c r="A15" s="17" t="s">
        <v>38</v>
      </c>
    </row>
    <row r="17" spans="1:1">
      <c r="A17" s="17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2026-07-08T04:22:05Z</dcterms:created>
  <dcterms:modified xsi:type="dcterms:W3CDTF">2026-07-08T04:22:05Z</dcterms:modified>
</cp:coreProperties>
</file>