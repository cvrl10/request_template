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la\clariant\request_template\dist\"/>
    </mc:Choice>
  </mc:AlternateContent>
  <xr:revisionPtr revIDLastSave="0" documentId="13_ncr:1_{CA46D593-E57C-4BB2-AA64-69BA1FBDAB2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igestion_page" sheetId="1" r:id="rId1"/>
    <sheet name="200126511" sheetId="2" r:id="rId2"/>
    <sheet name="200126512" sheetId="3" r:id="rId3"/>
    <sheet name="formula_pag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3" l="1"/>
  <c r="F7" i="3" s="1"/>
  <c r="D6" i="3"/>
  <c r="E7" i="2"/>
  <c r="F7" i="2" s="1"/>
  <c r="D6" i="2"/>
</calcChain>
</file>

<file path=xl/sharedStrings.xml><?xml version="1.0" encoding="utf-8"?>
<sst xmlns="http://schemas.openxmlformats.org/spreadsheetml/2006/main" count="50" uniqueCount="37">
  <si>
    <t>Date:</t>
  </si>
  <si>
    <t>Request ID:</t>
  </si>
  <si>
    <t>TEST</t>
  </si>
  <si>
    <t>Hotplate</t>
  </si>
  <si>
    <t>Element(s)</t>
  </si>
  <si>
    <t>LOI</t>
  </si>
  <si>
    <t>SOP#</t>
  </si>
  <si>
    <t>Cocktail</t>
  </si>
  <si>
    <t>sample(s)</t>
  </si>
  <si>
    <t>weight (g)</t>
  </si>
  <si>
    <t>volume (mL)</t>
  </si>
  <si>
    <t>200126511_1</t>
  </si>
  <si>
    <t>200126511_2</t>
  </si>
  <si>
    <t>200126512_1</t>
  </si>
  <si>
    <t>200126512_2</t>
  </si>
  <si>
    <t>LOI temp:</t>
  </si>
  <si>
    <t>sample</t>
  </si>
  <si>
    <t>crucible (g)</t>
  </si>
  <si>
    <t>crucible + sample (g)</t>
  </si>
  <si>
    <t>LOI (%)</t>
  </si>
  <si>
    <t>correction</t>
  </si>
  <si>
    <t>200126511</t>
  </si>
  <si>
    <t>Note(s):</t>
  </si>
  <si>
    <t>200126512</t>
  </si>
  <si>
    <t>A = crucible</t>
  </si>
  <si>
    <t>B = crucible + sample</t>
  </si>
  <si>
    <t>C = crucible + sample after drying</t>
  </si>
  <si>
    <t>%LOI = ([B-A]-[C-A])/(B-A)*100%</t>
  </si>
  <si>
    <t>ppm M+ = [conc.][volume][dilution]/[weight]</t>
  </si>
  <si>
    <t>%M+ = [conc.][volume][dilution]/([weight]*10,000)</t>
  </si>
  <si>
    <t>%MO = [oxide factor]*%M+</t>
  </si>
  <si>
    <t>ppm M+  [dried] = ppm M+/([1-(%LOI)/100])</t>
  </si>
  <si>
    <t>%M+  [dried] = %M+/([1-(%LOI)/100])</t>
  </si>
  <si>
    <t>%MO [dried] = %MO/([1-(%LOI)/100])</t>
  </si>
  <si>
    <t>%Cr(VI) = (1.733[mL FAS][N FAS])/([weight])</t>
  </si>
  <si>
    <t>%Cr2O3 = 1.462*[%Cr(VI)]</t>
  </si>
  <si>
    <t>%Cr(III) = total_Cr - Cr(VI)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</si>
</sst>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"/>
    <numFmt numFmtId="166" formatCode="######&quot; °C&quot;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/>
    <xf numFmtId="0" fontId="0" fillId="0" borderId="1" xfId="0" applyBorder="1"/>
    <xf numFmtId="165" fontId="0" fillId="0" borderId="1" xfId="0" applyNumberFormat="1" applyBorder="1"/>
    <xf numFmtId="0" fontId="0" fillId="0" borderId="0" xfId="0" applyAlignment="1">
      <alignment horizontal="right"/>
    </xf>
    <xf numFmtId="166" fontId="0" fillId="0" borderId="0" xfId="0" applyNumberFormat="1"/>
    <xf numFmtId="2" fontId="0" fillId="0" borderId="1" xfId="0" applyNumberFormat="1" applyBorder="1"/>
    <xf numFmtId="0" fontId="3" fillId="0" borderId="0" xfId="0" applyFont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2">
    <dxf>
      <fill>
        <patternFill>
          <bgColor rgb="FFFFFFCC"/>
        </patternFill>
      </fill>
    </dxf>
    <dxf>
      <fill>
        <patternFill>
          <bgColor rgb="FFFF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workbookViewId="0"/>
  </sheetViews>
  <sheetFormatPr defaultRowHeight="14.4" x14ac:dyDescent="0.3"/>
  <cols>
    <col min="1" max="1" width="12" bestFit="1" customWidth="1"/>
    <col min="2" max="2" width="10.6640625" bestFit="1" customWidth="1"/>
    <col min="3" max="3" width="12.109375" bestFit="1" customWidth="1"/>
  </cols>
  <sheetData>
    <row r="1" spans="1:3" x14ac:dyDescent="0.3">
      <c r="A1" s="1" t="s">
        <v>0</v>
      </c>
      <c r="B1" s="2">
        <v>46166</v>
      </c>
    </row>
    <row r="2" spans="1:3" x14ac:dyDescent="0.3">
      <c r="A2" s="1" t="s">
        <v>1</v>
      </c>
      <c r="B2" s="3" t="s">
        <v>2</v>
      </c>
    </row>
    <row r="5" spans="1:3" x14ac:dyDescent="0.3">
      <c r="A5" s="11" t="s">
        <v>3</v>
      </c>
      <c r="B5" s="11"/>
      <c r="C5" s="11"/>
    </row>
    <row r="6" spans="1:3" x14ac:dyDescent="0.3">
      <c r="A6" s="4" t="s">
        <v>4</v>
      </c>
      <c r="B6" s="12" t="s">
        <v>5</v>
      </c>
      <c r="C6" s="12"/>
    </row>
    <row r="7" spans="1:3" x14ac:dyDescent="0.3">
      <c r="A7" s="4" t="s">
        <v>6</v>
      </c>
      <c r="B7" s="12"/>
      <c r="C7" s="12"/>
    </row>
    <row r="8" spans="1:3" x14ac:dyDescent="0.3">
      <c r="A8" s="4" t="s">
        <v>7</v>
      </c>
      <c r="B8" s="12"/>
      <c r="C8" s="12"/>
    </row>
    <row r="9" spans="1:3" x14ac:dyDescent="0.3">
      <c r="A9" s="4" t="s">
        <v>8</v>
      </c>
      <c r="B9" s="4" t="s">
        <v>9</v>
      </c>
      <c r="C9" s="4" t="s">
        <v>10</v>
      </c>
    </row>
    <row r="10" spans="1:3" x14ac:dyDescent="0.3">
      <c r="A10" s="4" t="s">
        <v>11</v>
      </c>
      <c r="B10" s="6"/>
      <c r="C10" s="5"/>
    </row>
    <row r="11" spans="1:3" x14ac:dyDescent="0.3">
      <c r="A11" s="4" t="s">
        <v>12</v>
      </c>
      <c r="B11" s="6"/>
      <c r="C11" s="5"/>
    </row>
    <row r="12" spans="1:3" x14ac:dyDescent="0.3">
      <c r="A12" s="4" t="s">
        <v>13</v>
      </c>
      <c r="B12" s="6"/>
      <c r="C12" s="5"/>
    </row>
    <row r="13" spans="1:3" x14ac:dyDescent="0.3">
      <c r="A13" s="4" t="s">
        <v>14</v>
      </c>
      <c r="B13" s="6"/>
      <c r="C13" s="5"/>
    </row>
  </sheetData>
  <mergeCells count="4">
    <mergeCell ref="A5:C5"/>
    <mergeCell ref="B6:C6"/>
    <mergeCell ref="B7:C7"/>
    <mergeCell ref="B8:C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selection activeCell="B6" sqref="B6"/>
    </sheetView>
  </sheetViews>
  <sheetFormatPr defaultRowHeight="14.4" x14ac:dyDescent="0.3"/>
  <cols>
    <col min="1" max="1" width="11.109375" bestFit="1" customWidth="1"/>
    <col min="2" max="2" width="10.88671875" bestFit="1" customWidth="1"/>
    <col min="3" max="3" width="19.109375" bestFit="1" customWidth="1"/>
    <col min="5" max="5" width="7.33203125" bestFit="1" customWidth="1"/>
    <col min="6" max="6" width="10" bestFit="1" customWidth="1"/>
  </cols>
  <sheetData>
    <row r="1" spans="1:6" x14ac:dyDescent="0.3">
      <c r="A1" s="1" t="s">
        <v>0</v>
      </c>
      <c r="B1" s="2">
        <v>46166</v>
      </c>
    </row>
    <row r="2" spans="1:6" x14ac:dyDescent="0.3">
      <c r="A2" s="1" t="s">
        <v>1</v>
      </c>
      <c r="B2" s="3" t="s">
        <v>2</v>
      </c>
    </row>
    <row r="5" spans="1:6" x14ac:dyDescent="0.3">
      <c r="A5" s="7" t="s">
        <v>15</v>
      </c>
      <c r="B5" s="8">
        <v>900</v>
      </c>
    </row>
    <row r="6" spans="1:6" x14ac:dyDescent="0.3">
      <c r="A6" s="4" t="s">
        <v>16</v>
      </c>
      <c r="B6" s="4" t="s">
        <v>17</v>
      </c>
      <c r="C6" s="4" t="s">
        <v>18</v>
      </c>
      <c r="D6" s="4" t="str">
        <f>"after "&amp;B5&amp;" °C"</f>
        <v>after 900 °C</v>
      </c>
      <c r="E6" s="4" t="s">
        <v>19</v>
      </c>
      <c r="F6" s="4" t="s">
        <v>20</v>
      </c>
    </row>
    <row r="7" spans="1:6" x14ac:dyDescent="0.3">
      <c r="A7" s="4" t="s">
        <v>21</v>
      </c>
      <c r="B7" s="5"/>
      <c r="C7" s="5"/>
      <c r="D7" s="5"/>
      <c r="E7" s="9" t="e">
        <f>(((C7-B7)-(D7-B7))/(C7-B7))*100</f>
        <v>#DIV/0!</v>
      </c>
      <c r="F7" s="6" t="e">
        <f>1-(E7/100)</f>
        <v>#DIV/0!</v>
      </c>
    </row>
    <row r="9" spans="1:6" x14ac:dyDescent="0.3">
      <c r="B9" s="7" t="s">
        <v>22</v>
      </c>
      <c r="C9" s="13"/>
      <c r="D9" s="13"/>
      <c r="E9" s="13"/>
      <c r="F9" s="13"/>
    </row>
    <row r="10" spans="1:6" x14ac:dyDescent="0.3">
      <c r="C10" s="13"/>
      <c r="D10" s="13"/>
      <c r="E10" s="13"/>
      <c r="F10" s="13"/>
    </row>
    <row r="11" spans="1:6" x14ac:dyDescent="0.3">
      <c r="C11" s="13"/>
      <c r="D11" s="13"/>
      <c r="E11" s="13"/>
      <c r="F11" s="13"/>
    </row>
  </sheetData>
  <mergeCells count="1">
    <mergeCell ref="C9:F11"/>
  </mergeCells>
  <conditionalFormatting sqref="B5">
    <cfRule type="containsBlanks" dxfId="1" priority="1">
      <formula>LEN(TRIM(B5))=0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tabSelected="1" workbookViewId="0">
      <selection activeCell="B6" sqref="B6"/>
    </sheetView>
  </sheetViews>
  <sheetFormatPr defaultRowHeight="14.4" x14ac:dyDescent="0.3"/>
  <cols>
    <col min="1" max="1" width="11.109375" bestFit="1" customWidth="1"/>
    <col min="2" max="2" width="10.88671875" bestFit="1" customWidth="1"/>
    <col min="3" max="3" width="19.109375" bestFit="1" customWidth="1"/>
    <col min="5" max="5" width="7.33203125" bestFit="1" customWidth="1"/>
    <col min="6" max="6" width="10" bestFit="1" customWidth="1"/>
  </cols>
  <sheetData>
    <row r="1" spans="1:6" x14ac:dyDescent="0.3">
      <c r="A1" s="1" t="s">
        <v>0</v>
      </c>
      <c r="B1" s="2">
        <v>46166</v>
      </c>
    </row>
    <row r="2" spans="1:6" x14ac:dyDescent="0.3">
      <c r="A2" s="1" t="s">
        <v>1</v>
      </c>
      <c r="B2" s="3" t="s">
        <v>2</v>
      </c>
    </row>
    <row r="5" spans="1:6" x14ac:dyDescent="0.3">
      <c r="A5" s="7" t="s">
        <v>15</v>
      </c>
      <c r="B5" s="8">
        <v>900</v>
      </c>
    </row>
    <row r="6" spans="1:6" x14ac:dyDescent="0.3">
      <c r="A6" s="4" t="s">
        <v>16</v>
      </c>
      <c r="B6" s="4" t="s">
        <v>17</v>
      </c>
      <c r="C6" s="4" t="s">
        <v>18</v>
      </c>
      <c r="D6" s="4" t="str">
        <f>"after "&amp;B5&amp;" °C"</f>
        <v>after 900 °C</v>
      </c>
      <c r="E6" s="4" t="s">
        <v>19</v>
      </c>
      <c r="F6" s="4" t="s">
        <v>20</v>
      </c>
    </row>
    <row r="7" spans="1:6" x14ac:dyDescent="0.3">
      <c r="A7" s="4" t="s">
        <v>23</v>
      </c>
      <c r="B7" s="5"/>
      <c r="C7" s="5"/>
      <c r="D7" s="5"/>
      <c r="E7" s="9" t="e">
        <f>(((C7-B7)-(D7-B7))/(C7-B7))*100</f>
        <v>#DIV/0!</v>
      </c>
      <c r="F7" s="6" t="e">
        <f>1-(E7/100)</f>
        <v>#DIV/0!</v>
      </c>
    </row>
    <row r="9" spans="1:6" x14ac:dyDescent="0.3">
      <c r="B9" s="7" t="s">
        <v>22</v>
      </c>
      <c r="C9" s="13"/>
      <c r="D9" s="13"/>
      <c r="E9" s="13"/>
      <c r="F9" s="13"/>
    </row>
    <row r="10" spans="1:6" x14ac:dyDescent="0.3">
      <c r="C10" s="13"/>
      <c r="D10" s="13"/>
      <c r="E10" s="13"/>
      <c r="F10" s="13"/>
    </row>
    <row r="11" spans="1:6" x14ac:dyDescent="0.3">
      <c r="C11" s="13"/>
      <c r="D11" s="13"/>
      <c r="E11" s="13"/>
      <c r="F11" s="13"/>
    </row>
  </sheetData>
  <mergeCells count="1">
    <mergeCell ref="C9:F11"/>
  </mergeCells>
  <conditionalFormatting sqref="B5">
    <cfRule type="containsBlanks" dxfId="0" priority="1">
      <formula>LEN(TRIM(B5))=0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23"/>
  <sheetViews>
    <sheetView workbookViewId="0"/>
  </sheetViews>
  <sheetFormatPr defaultRowHeight="14.4" x14ac:dyDescent="0.3"/>
  <cols>
    <col min="1" max="1" width="46.109375" bestFit="1" customWidth="1"/>
  </cols>
  <sheetData>
    <row r="1" spans="1:1" x14ac:dyDescent="0.3">
      <c r="A1" s="10" t="s">
        <v>24</v>
      </c>
    </row>
    <row r="2" spans="1:1" x14ac:dyDescent="0.3">
      <c r="A2" s="10" t="s">
        <v>25</v>
      </c>
    </row>
    <row r="3" spans="1:1" x14ac:dyDescent="0.3">
      <c r="A3" s="10" t="s">
        <v>26</v>
      </c>
    </row>
    <row r="5" spans="1:1" x14ac:dyDescent="0.3">
      <c r="A5" s="10" t="s">
        <v>27</v>
      </c>
    </row>
    <row r="7" spans="1:1" x14ac:dyDescent="0.3">
      <c r="A7" s="10" t="s">
        <v>28</v>
      </c>
    </row>
    <row r="9" spans="1:1" x14ac:dyDescent="0.3">
      <c r="A9" s="10" t="s">
        <v>29</v>
      </c>
    </row>
    <row r="11" spans="1:1" x14ac:dyDescent="0.3">
      <c r="A11" s="10" t="s">
        <v>30</v>
      </c>
    </row>
    <row r="13" spans="1:1" x14ac:dyDescent="0.3">
      <c r="A13" s="10" t="s">
        <v>31</v>
      </c>
    </row>
    <row r="15" spans="1:1" x14ac:dyDescent="0.3">
      <c r="A15" s="10" t="s">
        <v>32</v>
      </c>
    </row>
    <row r="17" spans="1:1" x14ac:dyDescent="0.3">
      <c r="A17" s="10" t="s">
        <v>33</v>
      </c>
    </row>
    <row r="19" spans="1:1" x14ac:dyDescent="0.3">
      <c r="A19" s="10" t="s">
        <v>34</v>
      </c>
    </row>
    <row r="21" spans="1:1" x14ac:dyDescent="0.3">
      <c r="A21" s="10" t="s">
        <v>35</v>
      </c>
    </row>
    <row r="23" spans="1:1" x14ac:dyDescent="0.3">
      <c r="A23" s="10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200126511</vt:lpstr>
      <vt:lpstr>200126512</vt:lpstr>
      <vt:lpstr>formula_page</vt:lpstr>
    </vt:vector>
  </TitlesOfParts>
  <Company>Clariant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Archemetre, Carl P.</cp:lastModifiedBy>
  <dcterms:created xsi:type="dcterms:W3CDTF">2026-05-24T14:53:27Z</dcterms:created>
  <dcterms:modified xsi:type="dcterms:W3CDTF">2026-05-24T14:53:54Z</dcterms:modified>
</cp:coreProperties>
</file>