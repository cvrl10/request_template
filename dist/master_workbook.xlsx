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arla\clariant\request_template\dist\"/>
    </mc:Choice>
  </mc:AlternateContent>
  <xr:revisionPtr revIDLastSave="0" documentId="13_ncr:1_{7547D295-5710-4A3E-8216-45B76AC262C5}" xr6:coauthVersionLast="47" xr6:coauthVersionMax="47" xr10:uidLastSave="{00000000-0000-0000-0000-000000000000}"/>
  <bookViews>
    <workbookView xWindow="-23148" yWindow="-108" windowWidth="23256" windowHeight="12456" activeTab="3" xr2:uid="{00000000-000D-0000-FFFF-FFFF00000000}"/>
  </bookViews>
  <sheets>
    <sheet name="digestion_page" sheetId="1" r:id="rId1"/>
    <sheet name="200120001" sheetId="2" r:id="rId2"/>
    <sheet name="200120002" sheetId="3" r:id="rId3"/>
    <sheet name="200120003" sheetId="4" r:id="rId4"/>
    <sheet name="formula_pag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4" l="1"/>
  <c r="G12" i="4"/>
  <c r="B12" i="4"/>
  <c r="I12" i="4" s="1"/>
  <c r="H11" i="4"/>
  <c r="G11" i="4"/>
  <c r="B11" i="4"/>
  <c r="I11" i="4" s="1"/>
  <c r="F7" i="4"/>
  <c r="E7" i="4"/>
  <c r="D6" i="4"/>
  <c r="H21" i="3"/>
  <c r="G21" i="3"/>
  <c r="B21" i="3"/>
  <c r="I21" i="3" s="1"/>
  <c r="H20" i="3"/>
  <c r="G20" i="3"/>
  <c r="B20" i="3"/>
  <c r="I20" i="3" s="1"/>
  <c r="H12" i="3"/>
  <c r="G12" i="3"/>
  <c r="B12" i="3"/>
  <c r="I12" i="3" s="1"/>
  <c r="I11" i="3"/>
  <c r="H11" i="3"/>
  <c r="G11" i="3"/>
  <c r="B11" i="3"/>
  <c r="E7" i="3"/>
  <c r="F7" i="3" s="1"/>
  <c r="D6" i="3"/>
  <c r="H12" i="2"/>
  <c r="G12" i="2"/>
  <c r="B12" i="2"/>
  <c r="I12" i="2" s="1"/>
  <c r="H11" i="2"/>
  <c r="G11" i="2"/>
  <c r="B11" i="2"/>
  <c r="I11" i="2" s="1"/>
  <c r="E7" i="2"/>
  <c r="F7" i="2" s="1"/>
  <c r="D6" i="2"/>
  <c r="D11" i="2" l="1"/>
  <c r="D12" i="3"/>
  <c r="E12" i="3" s="1"/>
  <c r="D11" i="4"/>
  <c r="D20" i="3"/>
  <c r="D11" i="3"/>
  <c r="D21" i="3"/>
  <c r="E21" i="3" s="1"/>
  <c r="D12" i="2"/>
  <c r="E12" i="2" s="1"/>
  <c r="D12" i="4"/>
  <c r="E12" i="4" s="1"/>
  <c r="E20" i="3" l="1"/>
  <c r="C24" i="3" s="1"/>
  <c r="C23" i="3"/>
  <c r="C14" i="4"/>
  <c r="E11" i="4"/>
  <c r="C15" i="4" s="1"/>
  <c r="C14" i="3"/>
  <c r="E11" i="3"/>
  <c r="C15" i="3" s="1"/>
  <c r="C14" i="2"/>
  <c r="E11" i="2"/>
  <c r="C15" i="2" s="1"/>
</calcChain>
</file>

<file path=xl/sharedStrings.xml><?xml version="1.0" encoding="utf-8"?>
<sst xmlns="http://schemas.openxmlformats.org/spreadsheetml/2006/main" count="131" uniqueCount="75">
  <si>
    <t>Date:</t>
  </si>
  <si>
    <t>Request ID:</t>
  </si>
  <si>
    <t>100048657</t>
  </si>
  <si>
    <t>Microwave</t>
  </si>
  <si>
    <t>Element(s)</t>
  </si>
  <si>
    <t>Ca</t>
  </si>
  <si>
    <t>SOP#</t>
  </si>
  <si>
    <t>Acid Cocktail</t>
  </si>
  <si>
    <t>Rack</t>
  </si>
  <si>
    <t>Vessel</t>
  </si>
  <si>
    <t>Stir</t>
  </si>
  <si>
    <t>Time (min)</t>
  </si>
  <si>
    <t>Power (W)</t>
  </si>
  <si>
    <t>T1 (°C)</t>
  </si>
  <si>
    <t>T2 (°C)</t>
  </si>
  <si>
    <t>P (bar)</t>
  </si>
  <si>
    <t>sample(s)</t>
  </si>
  <si>
    <t>weight (g)</t>
  </si>
  <si>
    <t>volume (mL)</t>
  </si>
  <si>
    <t>200120001_1</t>
  </si>
  <si>
    <t>200120001_2</t>
  </si>
  <si>
    <t>Katanax</t>
  </si>
  <si>
    <t>Sn, Ti</t>
  </si>
  <si>
    <t>200120002_1</t>
  </si>
  <si>
    <t>200120002_2</t>
  </si>
  <si>
    <t>Hotplate</t>
  </si>
  <si>
    <t>Al</t>
  </si>
  <si>
    <t>Cocktail</t>
  </si>
  <si>
    <t>200120003_1</t>
  </si>
  <si>
    <t>200120003_2</t>
  </si>
  <si>
    <t>LOI temp:</t>
  </si>
  <si>
    <t>sample</t>
  </si>
  <si>
    <t>crucible (g)</t>
  </si>
  <si>
    <t>crucible + sample (g)</t>
  </si>
  <si>
    <t>LOI (%)</t>
  </si>
  <si>
    <t>correction</t>
  </si>
  <si>
    <t>200120001</t>
  </si>
  <si>
    <t>Ca ICP analysis</t>
  </si>
  <si>
    <t>Dilution</t>
  </si>
  <si>
    <t>conc. [mg/L]</t>
  </si>
  <si>
    <t>Ca_ppm [dried]</t>
  </si>
  <si>
    <t>%Ca [dried]</t>
  </si>
  <si>
    <t>ca result:</t>
  </si>
  <si>
    <t>ca lot:</t>
  </si>
  <si>
    <t>Manufacturer: Assurance, 28-35CAY exp: 2026-10-30</t>
  </si>
  <si>
    <t>Note(s):</t>
  </si>
  <si>
    <t>200120002</t>
  </si>
  <si>
    <t>Sn ICP analysis</t>
  </si>
  <si>
    <t>Sn_ppm [dried]</t>
  </si>
  <si>
    <t>%Sn [dried]</t>
  </si>
  <si>
    <t>sn result:</t>
  </si>
  <si>
    <t>sn lot:</t>
  </si>
  <si>
    <t>Ti ICP analysis</t>
  </si>
  <si>
    <t>Ti_ppm [dried]</t>
  </si>
  <si>
    <t>%Ti [dried]</t>
  </si>
  <si>
    <t>ti result:</t>
  </si>
  <si>
    <t>ti lot:</t>
  </si>
  <si>
    <t>Manufacturer: Assurance, 27-189TIT exp: 2026-08-30</t>
  </si>
  <si>
    <t>200120003</t>
  </si>
  <si>
    <t>Al ICP analysis</t>
  </si>
  <si>
    <t>Al_ppm [dried]</t>
  </si>
  <si>
    <t>%Al [dried]</t>
  </si>
  <si>
    <t>al result:</t>
  </si>
  <si>
    <t>al lot:</t>
  </si>
  <si>
    <t>Manufacturer: Assurance, 27-171ALT exp: 2026-07-30</t>
  </si>
  <si>
    <t>ppm M+ = [conc.][volume][dilution]/[weight]</t>
  </si>
  <si>
    <t>%M+ = [conc.][volume][dilution]/([weight]*10,000)</t>
  </si>
  <si>
    <t>%MO = [oxide factor]*%M+</t>
  </si>
  <si>
    <t>A = crucible</t>
  </si>
  <si>
    <t>B = crucible + sample</t>
  </si>
  <si>
    <t>C = crucible + sample after drying</t>
  </si>
  <si>
    <t>%LOI = ([B-A]-[C-A])/(B-A)*100%</t>
  </si>
  <si>
    <t>ppm M+  [dried] = ppm M+/([1-(%LOI)/100])</t>
  </si>
  <si>
    <t>%M+  [dried] = %M+/([1-(%LOI)/100])</t>
  </si>
  <si>
    <t>%MO [dried] = %MO/([1-(%LOI)/100])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</si>
</sst>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"/>
    <numFmt numFmtId="166" formatCode="######&quot; °C&quot;"/>
    <numFmt numFmtId="167" formatCode="0.000"/>
    <numFmt numFmtId="168" formatCode="0.00&quot; ppm&quot;"/>
    <numFmt numFmtId="169" formatCode="0.00&quot; %&quot;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/>
    <xf numFmtId="0" fontId="0" fillId="0" borderId="1" xfId="0" applyBorder="1"/>
    <xf numFmtId="165" fontId="0" fillId="0" borderId="1" xfId="0" applyNumberFormat="1" applyBorder="1"/>
    <xf numFmtId="0" fontId="0" fillId="0" borderId="0" xfId="0" applyAlignment="1">
      <alignment horizontal="right"/>
    </xf>
    <xf numFmtId="166" fontId="0" fillId="0" borderId="0" xfId="0" applyNumberFormat="1"/>
    <xf numFmtId="2" fontId="0" fillId="0" borderId="1" xfId="0" applyNumberFormat="1" applyBorder="1"/>
    <xf numFmtId="167" fontId="0" fillId="0" borderId="1" xfId="0" applyNumberFormat="1" applyBorder="1"/>
    <xf numFmtId="0" fontId="2" fillId="0" borderId="0" xfId="0" applyFont="1"/>
    <xf numFmtId="168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0" fontId="4" fillId="0" borderId="0" xfId="0" applyFont="1"/>
    <xf numFmtId="0" fontId="1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 vertical="top" wrapText="1"/>
    </xf>
  </cellXfs>
  <cellStyles count="1">
    <cellStyle name="Normal" xfId="0" builtinId="0"/>
  </cellStyles>
  <dxfs count="7"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6"/>
  <sheetViews>
    <sheetView workbookViewId="0"/>
  </sheetViews>
  <sheetFormatPr defaultRowHeight="14.4" x14ac:dyDescent="0.3"/>
  <cols>
    <col min="1" max="1" width="12.6640625" customWidth="1"/>
    <col min="2" max="2" width="10.6640625" customWidth="1"/>
    <col min="3" max="3" width="12.109375" bestFit="1" customWidth="1"/>
    <col min="4" max="4" width="7.109375" bestFit="1" customWidth="1"/>
    <col min="5" max="5" width="6.88671875" bestFit="1" customWidth="1"/>
  </cols>
  <sheetData>
    <row r="1" spans="1:5" x14ac:dyDescent="0.3">
      <c r="A1" s="1" t="s">
        <v>0</v>
      </c>
      <c r="B1" s="2">
        <v>46199</v>
      </c>
    </row>
    <row r="2" spans="1:5" x14ac:dyDescent="0.3">
      <c r="A2" s="1" t="s">
        <v>1</v>
      </c>
      <c r="B2" s="3" t="s">
        <v>2</v>
      </c>
    </row>
    <row r="5" spans="1:5" x14ac:dyDescent="0.3">
      <c r="A5" s="15" t="s">
        <v>3</v>
      </c>
      <c r="B5" s="15"/>
      <c r="C5" s="15"/>
      <c r="D5" s="15"/>
      <c r="E5" s="15"/>
    </row>
    <row r="6" spans="1:5" x14ac:dyDescent="0.3">
      <c r="A6" s="4" t="s">
        <v>4</v>
      </c>
      <c r="B6" s="16" t="s">
        <v>5</v>
      </c>
      <c r="C6" s="16"/>
      <c r="D6" s="16"/>
      <c r="E6" s="16"/>
    </row>
    <row r="7" spans="1:5" x14ac:dyDescent="0.3">
      <c r="A7" s="4" t="s">
        <v>6</v>
      </c>
      <c r="B7" s="16"/>
      <c r="C7" s="16"/>
      <c r="D7" s="16"/>
      <c r="E7" s="16"/>
    </row>
    <row r="8" spans="1:5" x14ac:dyDescent="0.3">
      <c r="A8" s="4" t="s">
        <v>7</v>
      </c>
      <c r="B8" s="16"/>
      <c r="C8" s="16"/>
      <c r="D8" s="16"/>
      <c r="E8" s="16"/>
    </row>
    <row r="9" spans="1:5" x14ac:dyDescent="0.3">
      <c r="A9" s="4" t="s">
        <v>8</v>
      </c>
      <c r="B9" s="17"/>
      <c r="C9" s="17"/>
      <c r="D9" s="17"/>
      <c r="E9" s="17"/>
    </row>
    <row r="10" spans="1:5" x14ac:dyDescent="0.3">
      <c r="A10" s="4" t="s">
        <v>9</v>
      </c>
      <c r="B10" s="16"/>
      <c r="C10" s="16"/>
      <c r="D10" s="16"/>
      <c r="E10" s="16"/>
    </row>
    <row r="11" spans="1:5" x14ac:dyDescent="0.3">
      <c r="A11" s="4" t="s">
        <v>10</v>
      </c>
      <c r="B11" s="17"/>
      <c r="C11" s="17"/>
      <c r="D11" s="17"/>
      <c r="E11" s="17"/>
    </row>
    <row r="12" spans="1:5" x14ac:dyDescent="0.3">
      <c r="A12" s="4" t="s">
        <v>11</v>
      </c>
      <c r="B12" s="4" t="s">
        <v>12</v>
      </c>
      <c r="C12" s="4" t="s">
        <v>13</v>
      </c>
      <c r="D12" s="4" t="s">
        <v>14</v>
      </c>
      <c r="E12" s="4" t="s">
        <v>15</v>
      </c>
    </row>
    <row r="13" spans="1:5" x14ac:dyDescent="0.3">
      <c r="A13" s="5">
        <v>15</v>
      </c>
      <c r="B13" s="5">
        <v>1200</v>
      </c>
      <c r="C13" s="5">
        <v>180</v>
      </c>
      <c r="D13" s="5">
        <v>65</v>
      </c>
      <c r="E13" s="5">
        <v>110</v>
      </c>
    </row>
    <row r="14" spans="1:5" x14ac:dyDescent="0.3">
      <c r="A14" s="5">
        <v>15</v>
      </c>
      <c r="B14" s="5">
        <v>1500</v>
      </c>
      <c r="C14" s="5">
        <v>240</v>
      </c>
      <c r="D14" s="5">
        <v>65</v>
      </c>
      <c r="E14" s="5">
        <v>110</v>
      </c>
    </row>
    <row r="15" spans="1:5" x14ac:dyDescent="0.3">
      <c r="A15" s="5"/>
      <c r="B15" s="5"/>
      <c r="C15" s="5"/>
      <c r="D15" s="5"/>
      <c r="E15" s="5"/>
    </row>
    <row r="16" spans="1:5" x14ac:dyDescent="0.3">
      <c r="A16" s="4" t="s">
        <v>16</v>
      </c>
      <c r="B16" s="4" t="s">
        <v>17</v>
      </c>
      <c r="C16" s="4" t="s">
        <v>18</v>
      </c>
    </row>
    <row r="17" spans="1:3" x14ac:dyDescent="0.3">
      <c r="A17" s="4" t="s">
        <v>19</v>
      </c>
      <c r="B17" s="6"/>
      <c r="C17" s="5"/>
    </row>
    <row r="18" spans="1:3" x14ac:dyDescent="0.3">
      <c r="A18" s="4" t="s">
        <v>20</v>
      </c>
      <c r="B18" s="6"/>
      <c r="C18" s="5"/>
    </row>
    <row r="21" spans="1:3" x14ac:dyDescent="0.3">
      <c r="A21" s="15" t="s">
        <v>21</v>
      </c>
      <c r="B21" s="15"/>
      <c r="C21" s="15"/>
    </row>
    <row r="22" spans="1:3" x14ac:dyDescent="0.3">
      <c r="A22" s="4" t="s">
        <v>4</v>
      </c>
      <c r="B22" s="16" t="s">
        <v>22</v>
      </c>
      <c r="C22" s="16"/>
    </row>
    <row r="23" spans="1:3" x14ac:dyDescent="0.3">
      <c r="A23" s="4" t="s">
        <v>6</v>
      </c>
      <c r="B23" s="16"/>
      <c r="C23" s="16"/>
    </row>
    <row r="24" spans="1:3" x14ac:dyDescent="0.3">
      <c r="A24" s="4" t="s">
        <v>7</v>
      </c>
      <c r="B24" s="16"/>
      <c r="C24" s="16"/>
    </row>
    <row r="25" spans="1:3" x14ac:dyDescent="0.3">
      <c r="A25" s="4" t="s">
        <v>16</v>
      </c>
      <c r="B25" s="4" t="s">
        <v>17</v>
      </c>
      <c r="C25" s="4" t="s">
        <v>18</v>
      </c>
    </row>
    <row r="26" spans="1:3" x14ac:dyDescent="0.3">
      <c r="A26" s="4" t="s">
        <v>23</v>
      </c>
      <c r="B26" s="6"/>
      <c r="C26" s="5">
        <v>250</v>
      </c>
    </row>
    <row r="27" spans="1:3" x14ac:dyDescent="0.3">
      <c r="A27" s="4" t="s">
        <v>24</v>
      </c>
      <c r="B27" s="6"/>
      <c r="C27" s="5">
        <v>250</v>
      </c>
    </row>
    <row r="30" spans="1:3" x14ac:dyDescent="0.3">
      <c r="A30" s="15" t="s">
        <v>25</v>
      </c>
      <c r="B30" s="15"/>
      <c r="C30" s="15"/>
    </row>
    <row r="31" spans="1:3" x14ac:dyDescent="0.3">
      <c r="A31" s="4" t="s">
        <v>4</v>
      </c>
      <c r="B31" s="16" t="s">
        <v>26</v>
      </c>
      <c r="C31" s="16"/>
    </row>
    <row r="32" spans="1:3" x14ac:dyDescent="0.3">
      <c r="A32" s="4" t="s">
        <v>6</v>
      </c>
      <c r="B32" s="16"/>
      <c r="C32" s="16"/>
    </row>
    <row r="33" spans="1:3" x14ac:dyDescent="0.3">
      <c r="A33" s="4" t="s">
        <v>27</v>
      </c>
      <c r="B33" s="16"/>
      <c r="C33" s="16"/>
    </row>
    <row r="34" spans="1:3" x14ac:dyDescent="0.3">
      <c r="A34" s="4" t="s">
        <v>16</v>
      </c>
      <c r="B34" s="4" t="s">
        <v>17</v>
      </c>
      <c r="C34" s="4" t="s">
        <v>18</v>
      </c>
    </row>
    <row r="35" spans="1:3" x14ac:dyDescent="0.3">
      <c r="A35" s="4" t="s">
        <v>28</v>
      </c>
      <c r="B35" s="6"/>
      <c r="C35" s="5"/>
    </row>
    <row r="36" spans="1:3" x14ac:dyDescent="0.3">
      <c r="A36" s="4" t="s">
        <v>29</v>
      </c>
      <c r="B36" s="6"/>
      <c r="C36" s="5"/>
    </row>
  </sheetData>
  <mergeCells count="15">
    <mergeCell ref="B24:C24"/>
    <mergeCell ref="A30:C30"/>
    <mergeCell ref="B31:C31"/>
    <mergeCell ref="B32:C32"/>
    <mergeCell ref="B33:C33"/>
    <mergeCell ref="B10:E10"/>
    <mergeCell ref="B11:E11"/>
    <mergeCell ref="A21:C21"/>
    <mergeCell ref="B22:C22"/>
    <mergeCell ref="B23:C23"/>
    <mergeCell ref="A5:E5"/>
    <mergeCell ref="B6:E6"/>
    <mergeCell ref="B7:E7"/>
    <mergeCell ref="B8:E8"/>
    <mergeCell ref="B9:E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0"/>
  <sheetViews>
    <sheetView workbookViewId="0">
      <selection activeCell="C18" sqref="C18:F20"/>
    </sheetView>
  </sheetViews>
  <sheetFormatPr defaultRowHeight="14.4" x14ac:dyDescent="0.3"/>
  <cols>
    <col min="1" max="1" width="12" bestFit="1" customWidth="1"/>
    <col min="2" max="2" width="10.88671875" bestFit="1" customWidth="1"/>
    <col min="3" max="3" width="19.109375" bestFit="1" customWidth="1"/>
    <col min="4" max="4" width="14.6640625" bestFit="1" customWidth="1"/>
    <col min="5" max="5" width="11.33203125" bestFit="1" customWidth="1"/>
    <col min="6" max="6" width="10" bestFit="1" customWidth="1"/>
    <col min="7" max="10" width="7.6640625" customWidth="1"/>
  </cols>
  <sheetData>
    <row r="1" spans="1:9" x14ac:dyDescent="0.3">
      <c r="A1" s="1" t="s">
        <v>0</v>
      </c>
      <c r="B1" s="2">
        <v>46199</v>
      </c>
    </row>
    <row r="2" spans="1:9" x14ac:dyDescent="0.3">
      <c r="A2" s="1" t="s">
        <v>1</v>
      </c>
      <c r="B2" s="3" t="s">
        <v>2</v>
      </c>
    </row>
    <row r="5" spans="1:9" x14ac:dyDescent="0.3">
      <c r="A5" s="7" t="s">
        <v>30</v>
      </c>
      <c r="B5" s="8">
        <v>900</v>
      </c>
    </row>
    <row r="6" spans="1:9" x14ac:dyDescent="0.3">
      <c r="A6" s="4" t="s">
        <v>31</v>
      </c>
      <c r="B6" s="4" t="s">
        <v>32</v>
      </c>
      <c r="C6" s="4" t="s">
        <v>33</v>
      </c>
      <c r="D6" s="4" t="str">
        <f>"after "&amp;B5&amp;" °C"</f>
        <v>after 900 °C</v>
      </c>
      <c r="E6" s="4" t="s">
        <v>34</v>
      </c>
      <c r="F6" s="4" t="s">
        <v>35</v>
      </c>
    </row>
    <row r="7" spans="1:9" x14ac:dyDescent="0.3">
      <c r="A7" s="4" t="s">
        <v>36</v>
      </c>
      <c r="B7" s="6"/>
      <c r="C7" s="6"/>
      <c r="D7" s="6"/>
      <c r="E7" s="9" t="e">
        <f>(((C7-B7)-(D7-B7))/(C7-B7))*100</f>
        <v>#DIV/0!</v>
      </c>
      <c r="F7" s="6" t="e">
        <f>1-(E7/100)</f>
        <v>#DIV/0!</v>
      </c>
    </row>
    <row r="9" spans="1:9" x14ac:dyDescent="0.3">
      <c r="A9" s="18" t="s">
        <v>37</v>
      </c>
      <c r="B9" s="18"/>
    </row>
    <row r="10" spans="1:9" x14ac:dyDescent="0.3">
      <c r="A10" s="4" t="s">
        <v>31</v>
      </c>
      <c r="B10" s="4" t="s">
        <v>38</v>
      </c>
      <c r="C10" s="4" t="s">
        <v>39</v>
      </c>
      <c r="D10" s="4" t="s">
        <v>40</v>
      </c>
      <c r="E10" s="4" t="s">
        <v>41</v>
      </c>
    </row>
    <row r="11" spans="1:9" x14ac:dyDescent="0.3">
      <c r="A11" s="4" t="s">
        <v>19</v>
      </c>
      <c r="B11" s="5" t="str">
        <f>"1/1"</f>
        <v>1/1</v>
      </c>
      <c r="C11" s="10"/>
      <c r="D11" s="9" t="e">
        <f>((C11)*(H11)*(I11))/(G11*$F$7)</f>
        <v>#DIV/0!</v>
      </c>
      <c r="E11" s="9" t="e">
        <f>D11/10000</f>
        <v>#DIV/0!</v>
      </c>
      <c r="G11" s="11">
        <f>digestion_page!B17</f>
        <v>0</v>
      </c>
      <c r="H11" s="11">
        <f>digestion_page!C17</f>
        <v>0</v>
      </c>
      <c r="I11" s="11">
        <f>(LEFT(B11,FIND("/",B11)-1)/RIGHT(B11,LEN(B11)-FIND("/", B11)))</f>
        <v>1</v>
      </c>
    </row>
    <row r="12" spans="1:9" x14ac:dyDescent="0.3">
      <c r="A12" s="4" t="s">
        <v>20</v>
      </c>
      <c r="B12" s="5" t="str">
        <f>"1/1"</f>
        <v>1/1</v>
      </c>
      <c r="C12" s="10"/>
      <c r="D12" s="9" t="e">
        <f>((C12)*(H12)*(I12))/(G12*$F$7)</f>
        <v>#DIV/0!</v>
      </c>
      <c r="E12" s="9" t="e">
        <f>D12/10000</f>
        <v>#DIV/0!</v>
      </c>
      <c r="G12" s="11">
        <f>digestion_page!B18</f>
        <v>0</v>
      </c>
      <c r="H12" s="11">
        <f>digestion_page!C18</f>
        <v>0</v>
      </c>
      <c r="I12" s="11">
        <f>(LEFT(B12,FIND("/",B12)-1)/RIGHT(B12,LEN(B12)-FIND("/", B12)))</f>
        <v>1</v>
      </c>
    </row>
    <row r="14" spans="1:9" x14ac:dyDescent="0.3">
      <c r="A14" s="19" t="s">
        <v>42</v>
      </c>
      <c r="B14" s="19"/>
      <c r="C14" s="12" t="e">
        <f>AVERAGE(D11:D12)</f>
        <v>#DIV/0!</v>
      </c>
    </row>
    <row r="15" spans="1:9" x14ac:dyDescent="0.3">
      <c r="A15" s="19" t="s">
        <v>42</v>
      </c>
      <c r="B15" s="19"/>
      <c r="C15" s="13" t="e">
        <f>AVERAGE(E11:E12)</f>
        <v>#DIV/0!</v>
      </c>
    </row>
    <row r="16" spans="1:9" x14ac:dyDescent="0.3">
      <c r="A16" s="19" t="s">
        <v>43</v>
      </c>
      <c r="B16" s="19"/>
      <c r="C16" s="20" t="s">
        <v>44</v>
      </c>
      <c r="D16" s="20"/>
      <c r="E16" s="20"/>
      <c r="F16" s="20"/>
    </row>
    <row r="18" spans="2:6" x14ac:dyDescent="0.3">
      <c r="B18" s="7" t="s">
        <v>45</v>
      </c>
      <c r="C18" s="21"/>
      <c r="D18" s="21"/>
      <c r="E18" s="21"/>
      <c r="F18" s="21"/>
    </row>
    <row r="19" spans="2:6" x14ac:dyDescent="0.3">
      <c r="C19" s="21"/>
      <c r="D19" s="21"/>
      <c r="E19" s="21"/>
      <c r="F19" s="21"/>
    </row>
    <row r="20" spans="2:6" x14ac:dyDescent="0.3">
      <c r="C20" s="21"/>
      <c r="D20" s="21"/>
      <c r="E20" s="21"/>
      <c r="F20" s="21"/>
    </row>
  </sheetData>
  <mergeCells count="6">
    <mergeCell ref="C18:F20"/>
    <mergeCell ref="A9:B9"/>
    <mergeCell ref="A14:B14"/>
    <mergeCell ref="A15:B15"/>
    <mergeCell ref="A16:B16"/>
    <mergeCell ref="C16:F16"/>
  </mergeCells>
  <conditionalFormatting sqref="B5">
    <cfRule type="containsBlanks" dxfId="6" priority="1">
      <formula>LEN(TRIM(B5))=0</formula>
    </cfRule>
  </conditionalFormatting>
  <conditionalFormatting sqref="C16:F16">
    <cfRule type="containsBlanks" dxfId="5" priority="2">
      <formula>LEN(TRIM(C16))=0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9"/>
  <sheetViews>
    <sheetView workbookViewId="0">
      <selection activeCell="B5" sqref="B5"/>
    </sheetView>
  </sheetViews>
  <sheetFormatPr defaultRowHeight="14.4" x14ac:dyDescent="0.3"/>
  <cols>
    <col min="1" max="1" width="12" bestFit="1" customWidth="1"/>
    <col min="2" max="2" width="10.88671875" bestFit="1" customWidth="1"/>
    <col min="3" max="3" width="19.109375" bestFit="1" customWidth="1"/>
    <col min="4" max="4" width="14.6640625" bestFit="1" customWidth="1"/>
    <col min="5" max="5" width="11.33203125" bestFit="1" customWidth="1"/>
    <col min="6" max="6" width="10" bestFit="1" customWidth="1"/>
    <col min="7" max="19" width="7.6640625" customWidth="1"/>
  </cols>
  <sheetData>
    <row r="1" spans="1:9" x14ac:dyDescent="0.3">
      <c r="A1" s="1" t="s">
        <v>0</v>
      </c>
      <c r="B1" s="2">
        <v>46199</v>
      </c>
    </row>
    <row r="2" spans="1:9" x14ac:dyDescent="0.3">
      <c r="A2" s="1" t="s">
        <v>1</v>
      </c>
      <c r="B2" s="3" t="s">
        <v>2</v>
      </c>
    </row>
    <row r="5" spans="1:9" x14ac:dyDescent="0.3">
      <c r="A5" s="7" t="s">
        <v>30</v>
      </c>
      <c r="B5" s="8">
        <v>900</v>
      </c>
    </row>
    <row r="6" spans="1:9" x14ac:dyDescent="0.3">
      <c r="A6" s="4" t="s">
        <v>31</v>
      </c>
      <c r="B6" s="4" t="s">
        <v>32</v>
      </c>
      <c r="C6" s="4" t="s">
        <v>33</v>
      </c>
      <c r="D6" s="4" t="str">
        <f>"after "&amp;B5&amp;" °C"</f>
        <v>after 900 °C</v>
      </c>
      <c r="E6" s="4" t="s">
        <v>34</v>
      </c>
      <c r="F6" s="4" t="s">
        <v>35</v>
      </c>
    </row>
    <row r="7" spans="1:9" x14ac:dyDescent="0.3">
      <c r="A7" s="4" t="s">
        <v>46</v>
      </c>
      <c r="B7" s="6"/>
      <c r="C7" s="6"/>
      <c r="D7" s="6"/>
      <c r="E7" s="9" t="e">
        <f>(((C7-B7)-(D7-B7))/(C7-B7))*100</f>
        <v>#DIV/0!</v>
      </c>
      <c r="F7" s="6" t="e">
        <f>1-(E7/100)</f>
        <v>#DIV/0!</v>
      </c>
    </row>
    <row r="9" spans="1:9" x14ac:dyDescent="0.3">
      <c r="A9" s="18" t="s">
        <v>47</v>
      </c>
      <c r="B9" s="18"/>
    </row>
    <row r="10" spans="1:9" x14ac:dyDescent="0.3">
      <c r="A10" s="4" t="s">
        <v>31</v>
      </c>
      <c r="B10" s="4" t="s">
        <v>38</v>
      </c>
      <c r="C10" s="4" t="s">
        <v>39</v>
      </c>
      <c r="D10" s="4" t="s">
        <v>48</v>
      </c>
      <c r="E10" s="4" t="s">
        <v>49</v>
      </c>
    </row>
    <row r="11" spans="1:9" x14ac:dyDescent="0.3">
      <c r="A11" s="4" t="s">
        <v>23</v>
      </c>
      <c r="B11" s="5" t="str">
        <f>"1/1"</f>
        <v>1/1</v>
      </c>
      <c r="C11" s="10"/>
      <c r="D11" s="9" t="e">
        <f>((C11)*(H11)*(I11))/(G11*$F$7)</f>
        <v>#DIV/0!</v>
      </c>
      <c r="E11" s="9" t="e">
        <f>D11/10000</f>
        <v>#DIV/0!</v>
      </c>
      <c r="G11" s="11">
        <f>digestion_page!B26</f>
        <v>0</v>
      </c>
      <c r="H11" s="11">
        <f>digestion_page!C26</f>
        <v>250</v>
      </c>
      <c r="I11" s="11">
        <f>(LEFT(B11,FIND("/",B11)-1)/RIGHT(B11,LEN(B11)-FIND("/", B11)))</f>
        <v>1</v>
      </c>
    </row>
    <row r="12" spans="1:9" x14ac:dyDescent="0.3">
      <c r="A12" s="4" t="s">
        <v>24</v>
      </c>
      <c r="B12" s="5" t="str">
        <f>"1/1"</f>
        <v>1/1</v>
      </c>
      <c r="C12" s="10"/>
      <c r="D12" s="9" t="e">
        <f>((C12)*(H12)*(I12))/(G12*$F$7)</f>
        <v>#DIV/0!</v>
      </c>
      <c r="E12" s="9" t="e">
        <f>D12/10000</f>
        <v>#DIV/0!</v>
      </c>
      <c r="G12" s="11">
        <f>digestion_page!B27</f>
        <v>0</v>
      </c>
      <c r="H12" s="11">
        <f>digestion_page!C27</f>
        <v>250</v>
      </c>
      <c r="I12" s="11">
        <f>(LEFT(B12,FIND("/",B12)-1)/RIGHT(B12,LEN(B12)-FIND("/", B12)))</f>
        <v>1</v>
      </c>
    </row>
    <row r="14" spans="1:9" x14ac:dyDescent="0.3">
      <c r="A14" s="19" t="s">
        <v>50</v>
      </c>
      <c r="B14" s="19"/>
      <c r="C14" s="12" t="e">
        <f>AVERAGE(D11:D12)</f>
        <v>#DIV/0!</v>
      </c>
    </row>
    <row r="15" spans="1:9" x14ac:dyDescent="0.3">
      <c r="A15" s="19" t="s">
        <v>50</v>
      </c>
      <c r="B15" s="19"/>
      <c r="C15" s="13" t="e">
        <f>AVERAGE(E11:E12)</f>
        <v>#DIV/0!</v>
      </c>
    </row>
    <row r="16" spans="1:9" x14ac:dyDescent="0.3">
      <c r="A16" s="19" t="s">
        <v>51</v>
      </c>
      <c r="B16" s="19"/>
      <c r="C16" s="20"/>
      <c r="D16" s="20"/>
      <c r="E16" s="20"/>
      <c r="F16" s="20"/>
    </row>
    <row r="18" spans="1:9" x14ac:dyDescent="0.3">
      <c r="A18" s="18" t="s">
        <v>52</v>
      </c>
      <c r="B18" s="18"/>
    </row>
    <row r="19" spans="1:9" x14ac:dyDescent="0.3">
      <c r="A19" s="4" t="s">
        <v>31</v>
      </c>
      <c r="B19" s="4" t="s">
        <v>38</v>
      </c>
      <c r="C19" s="4" t="s">
        <v>39</v>
      </c>
      <c r="D19" s="4" t="s">
        <v>53</v>
      </c>
      <c r="E19" s="4" t="s">
        <v>54</v>
      </c>
    </row>
    <row r="20" spans="1:9" x14ac:dyDescent="0.3">
      <c r="A20" s="4" t="s">
        <v>23</v>
      </c>
      <c r="B20" s="5" t="str">
        <f>"1/1"</f>
        <v>1/1</v>
      </c>
      <c r="C20" s="10"/>
      <c r="D20" s="9" t="e">
        <f>((C20)*(H20)*(I20))/(G20*$F$7)</f>
        <v>#DIV/0!</v>
      </c>
      <c r="E20" s="9" t="e">
        <f>D20/10000</f>
        <v>#DIV/0!</v>
      </c>
      <c r="G20" s="11">
        <f>digestion_page!B26</f>
        <v>0</v>
      </c>
      <c r="H20" s="11">
        <f>digestion_page!C26</f>
        <v>250</v>
      </c>
      <c r="I20" s="11">
        <f>(LEFT(B20,FIND("/",B20)-1)/RIGHT(B20,LEN(B20)-FIND("/", B20)))</f>
        <v>1</v>
      </c>
    </row>
    <row r="21" spans="1:9" x14ac:dyDescent="0.3">
      <c r="A21" s="4" t="s">
        <v>24</v>
      </c>
      <c r="B21" s="5" t="str">
        <f>"1/1"</f>
        <v>1/1</v>
      </c>
      <c r="C21" s="10"/>
      <c r="D21" s="9" t="e">
        <f>((C21)*(H21)*(I21))/(G21*$F$7)</f>
        <v>#DIV/0!</v>
      </c>
      <c r="E21" s="9" t="e">
        <f>D21/10000</f>
        <v>#DIV/0!</v>
      </c>
      <c r="G21" s="11">
        <f>digestion_page!B27</f>
        <v>0</v>
      </c>
      <c r="H21" s="11">
        <f>digestion_page!C27</f>
        <v>250</v>
      </c>
      <c r="I21" s="11">
        <f>(LEFT(B21,FIND("/",B21)-1)/RIGHT(B21,LEN(B21)-FIND("/", B21)))</f>
        <v>1</v>
      </c>
    </row>
    <row r="23" spans="1:9" x14ac:dyDescent="0.3">
      <c r="A23" s="19" t="s">
        <v>55</v>
      </c>
      <c r="B23" s="19"/>
      <c r="C23" s="12" t="e">
        <f>AVERAGE(D20:D21)</f>
        <v>#DIV/0!</v>
      </c>
    </row>
    <row r="24" spans="1:9" x14ac:dyDescent="0.3">
      <c r="A24" s="19" t="s">
        <v>55</v>
      </c>
      <c r="B24" s="19"/>
      <c r="C24" s="13" t="e">
        <f>AVERAGE(E20:E21)</f>
        <v>#DIV/0!</v>
      </c>
    </row>
    <row r="25" spans="1:9" x14ac:dyDescent="0.3">
      <c r="A25" s="19" t="s">
        <v>56</v>
      </c>
      <c r="B25" s="19"/>
      <c r="C25" s="20" t="s">
        <v>57</v>
      </c>
      <c r="D25" s="20"/>
      <c r="E25" s="20"/>
      <c r="F25" s="20"/>
    </row>
    <row r="27" spans="1:9" x14ac:dyDescent="0.3">
      <c r="B27" s="7" t="s">
        <v>45</v>
      </c>
      <c r="C27" s="21"/>
      <c r="D27" s="21"/>
      <c r="E27" s="21"/>
      <c r="F27" s="21"/>
    </row>
    <row r="28" spans="1:9" x14ac:dyDescent="0.3">
      <c r="C28" s="21"/>
      <c r="D28" s="21"/>
      <c r="E28" s="21"/>
      <c r="F28" s="21"/>
    </row>
    <row r="29" spans="1:9" x14ac:dyDescent="0.3">
      <c r="C29" s="21"/>
      <c r="D29" s="21"/>
      <c r="E29" s="21"/>
      <c r="F29" s="21"/>
    </row>
  </sheetData>
  <mergeCells count="11">
    <mergeCell ref="C27:F29"/>
    <mergeCell ref="A18:B18"/>
    <mergeCell ref="A23:B23"/>
    <mergeCell ref="A24:B24"/>
    <mergeCell ref="A25:B25"/>
    <mergeCell ref="C25:F25"/>
    <mergeCell ref="A9:B9"/>
    <mergeCell ref="A14:B14"/>
    <mergeCell ref="A15:B15"/>
    <mergeCell ref="A16:B16"/>
    <mergeCell ref="C16:F16"/>
  </mergeCells>
  <conditionalFormatting sqref="B5">
    <cfRule type="containsBlanks" dxfId="4" priority="1">
      <formula>LEN(TRIM(B5))=0</formula>
    </cfRule>
  </conditionalFormatting>
  <conditionalFormatting sqref="C16:F16">
    <cfRule type="containsBlanks" dxfId="3" priority="2">
      <formula>LEN(TRIM(C16))=0</formula>
    </cfRule>
  </conditionalFormatting>
  <conditionalFormatting sqref="C25:F25">
    <cfRule type="containsBlanks" dxfId="2" priority="3">
      <formula>LEN(TRIM(C25))=0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0"/>
  <sheetViews>
    <sheetView tabSelected="1" workbookViewId="0">
      <selection activeCell="C22" sqref="C22"/>
    </sheetView>
  </sheetViews>
  <sheetFormatPr defaultRowHeight="14.4" x14ac:dyDescent="0.3"/>
  <cols>
    <col min="1" max="1" width="12" bestFit="1" customWidth="1"/>
    <col min="2" max="2" width="10.88671875" bestFit="1" customWidth="1"/>
    <col min="3" max="3" width="19.109375" bestFit="1" customWidth="1"/>
    <col min="4" max="4" width="14.44140625" bestFit="1" customWidth="1"/>
    <col min="5" max="5" width="11" bestFit="1" customWidth="1"/>
    <col min="6" max="6" width="10" bestFit="1" customWidth="1"/>
    <col min="7" max="10" width="7.6640625" customWidth="1"/>
  </cols>
  <sheetData>
    <row r="1" spans="1:9" x14ac:dyDescent="0.3">
      <c r="A1" s="1" t="s">
        <v>0</v>
      </c>
      <c r="B1" s="2">
        <v>46199</v>
      </c>
    </row>
    <row r="2" spans="1:9" x14ac:dyDescent="0.3">
      <c r="A2" s="1" t="s">
        <v>1</v>
      </c>
      <c r="B2" s="3" t="s">
        <v>2</v>
      </c>
    </row>
    <row r="5" spans="1:9" x14ac:dyDescent="0.3">
      <c r="A5" s="7" t="s">
        <v>30</v>
      </c>
      <c r="B5" s="8">
        <v>900</v>
      </c>
    </row>
    <row r="6" spans="1:9" x14ac:dyDescent="0.3">
      <c r="A6" s="4" t="s">
        <v>31</v>
      </c>
      <c r="B6" s="4" t="s">
        <v>32</v>
      </c>
      <c r="C6" s="4" t="s">
        <v>33</v>
      </c>
      <c r="D6" s="4" t="str">
        <f>"after "&amp;B5&amp;" °C"</f>
        <v>after 900 °C</v>
      </c>
      <c r="E6" s="4" t="s">
        <v>34</v>
      </c>
      <c r="F6" s="4" t="s">
        <v>35</v>
      </c>
    </row>
    <row r="7" spans="1:9" x14ac:dyDescent="0.3">
      <c r="A7" s="4" t="s">
        <v>58</v>
      </c>
      <c r="B7" s="6"/>
      <c r="C7" s="6"/>
      <c r="D7" s="6"/>
      <c r="E7" s="9" t="e">
        <f>(((C7-B7)-(D7-B7))/(C7-B7))*100</f>
        <v>#DIV/0!</v>
      </c>
      <c r="F7" s="6" t="e">
        <f>1-(E7/100)</f>
        <v>#DIV/0!</v>
      </c>
    </row>
    <row r="9" spans="1:9" x14ac:dyDescent="0.3">
      <c r="A9" s="18" t="s">
        <v>59</v>
      </c>
      <c r="B9" s="18"/>
    </row>
    <row r="10" spans="1:9" x14ac:dyDescent="0.3">
      <c r="A10" s="4" t="s">
        <v>31</v>
      </c>
      <c r="B10" s="4" t="s">
        <v>38</v>
      </c>
      <c r="C10" s="4" t="s">
        <v>39</v>
      </c>
      <c r="D10" s="4" t="s">
        <v>60</v>
      </c>
      <c r="E10" s="4" t="s">
        <v>61</v>
      </c>
    </row>
    <row r="11" spans="1:9" x14ac:dyDescent="0.3">
      <c r="A11" s="4" t="s">
        <v>28</v>
      </c>
      <c r="B11" s="5" t="str">
        <f>"1/1"</f>
        <v>1/1</v>
      </c>
      <c r="C11" s="10"/>
      <c r="D11" s="9" t="e">
        <f>((C11)*(H11)*(I11))/(G11*$F$7)</f>
        <v>#DIV/0!</v>
      </c>
      <c r="E11" s="9" t="e">
        <f>D11/10000</f>
        <v>#DIV/0!</v>
      </c>
      <c r="G11" s="11">
        <f>digestion_page!B35</f>
        <v>0</v>
      </c>
      <c r="H11" s="11">
        <f>digestion_page!C35</f>
        <v>0</v>
      </c>
      <c r="I11" s="11">
        <f>(LEFT(B11,FIND("/",B11)-1)/RIGHT(B11,LEN(B11)-FIND("/", B11)))</f>
        <v>1</v>
      </c>
    </row>
    <row r="12" spans="1:9" x14ac:dyDescent="0.3">
      <c r="A12" s="4" t="s">
        <v>29</v>
      </c>
      <c r="B12" s="5" t="str">
        <f>"1/1"</f>
        <v>1/1</v>
      </c>
      <c r="C12" s="10"/>
      <c r="D12" s="9" t="e">
        <f>((C12)*(H12)*(I12))/(G12*$F$7)</f>
        <v>#DIV/0!</v>
      </c>
      <c r="E12" s="9" t="e">
        <f>D12/10000</f>
        <v>#DIV/0!</v>
      </c>
      <c r="G12" s="11">
        <f>digestion_page!B36</f>
        <v>0</v>
      </c>
      <c r="H12" s="11">
        <f>digestion_page!C36</f>
        <v>0</v>
      </c>
      <c r="I12" s="11">
        <f>(LEFT(B12,FIND("/",B12)-1)/RIGHT(B12,LEN(B12)-FIND("/", B12)))</f>
        <v>1</v>
      </c>
    </row>
    <row r="14" spans="1:9" x14ac:dyDescent="0.3">
      <c r="A14" s="19" t="s">
        <v>62</v>
      </c>
      <c r="B14" s="19"/>
      <c r="C14" s="12" t="e">
        <f>AVERAGE(D11:D12)</f>
        <v>#DIV/0!</v>
      </c>
    </row>
    <row r="15" spans="1:9" x14ac:dyDescent="0.3">
      <c r="A15" s="19" t="s">
        <v>62</v>
      </c>
      <c r="B15" s="19"/>
      <c r="C15" s="13" t="e">
        <f>AVERAGE(E11:E12)</f>
        <v>#DIV/0!</v>
      </c>
    </row>
    <row r="16" spans="1:9" x14ac:dyDescent="0.3">
      <c r="A16" s="19" t="s">
        <v>63</v>
      </c>
      <c r="B16" s="19"/>
      <c r="C16" s="20" t="s">
        <v>64</v>
      </c>
      <c r="D16" s="20"/>
      <c r="E16" s="20"/>
      <c r="F16" s="20"/>
    </row>
    <row r="18" spans="2:6" x14ac:dyDescent="0.3">
      <c r="B18" s="7" t="s">
        <v>45</v>
      </c>
      <c r="C18" s="21"/>
      <c r="D18" s="21"/>
      <c r="E18" s="21"/>
      <c r="F18" s="21"/>
    </row>
    <row r="19" spans="2:6" x14ac:dyDescent="0.3">
      <c r="C19" s="21"/>
      <c r="D19" s="21"/>
      <c r="E19" s="21"/>
      <c r="F19" s="21"/>
    </row>
    <row r="20" spans="2:6" x14ac:dyDescent="0.3">
      <c r="C20" s="21"/>
      <c r="D20" s="21"/>
      <c r="E20" s="21"/>
      <c r="F20" s="21"/>
    </row>
  </sheetData>
  <mergeCells count="6">
    <mergeCell ref="C18:F20"/>
    <mergeCell ref="A9:B9"/>
    <mergeCell ref="A14:B14"/>
    <mergeCell ref="A15:B15"/>
    <mergeCell ref="A16:B16"/>
    <mergeCell ref="C16:F16"/>
  </mergeCells>
  <conditionalFormatting sqref="B5">
    <cfRule type="containsBlanks" dxfId="1" priority="1">
      <formula>LEN(TRIM(B5))=0</formula>
    </cfRule>
  </conditionalFormatting>
  <conditionalFormatting sqref="C16:F16">
    <cfRule type="containsBlanks" dxfId="0" priority="2">
      <formula>LEN(TRIM(C16))=0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7"/>
  <sheetViews>
    <sheetView workbookViewId="0"/>
  </sheetViews>
  <sheetFormatPr defaultRowHeight="14.4" x14ac:dyDescent="0.3"/>
  <cols>
    <col min="1" max="1" width="46.109375" bestFit="1" customWidth="1"/>
  </cols>
  <sheetData>
    <row r="1" spans="1:1" x14ac:dyDescent="0.3">
      <c r="A1" s="14" t="s">
        <v>65</v>
      </c>
    </row>
    <row r="3" spans="1:1" x14ac:dyDescent="0.3">
      <c r="A3" s="14" t="s">
        <v>66</v>
      </c>
    </row>
    <row r="5" spans="1:1" x14ac:dyDescent="0.3">
      <c r="A5" s="14" t="s">
        <v>67</v>
      </c>
    </row>
    <row r="7" spans="1:1" x14ac:dyDescent="0.3">
      <c r="A7" s="14" t="s">
        <v>68</v>
      </c>
    </row>
    <row r="8" spans="1:1" x14ac:dyDescent="0.3">
      <c r="A8" s="14" t="s">
        <v>69</v>
      </c>
    </row>
    <row r="9" spans="1:1" x14ac:dyDescent="0.3">
      <c r="A9" s="14" t="s">
        <v>70</v>
      </c>
    </row>
    <row r="11" spans="1:1" x14ac:dyDescent="0.3">
      <c r="A11" s="14" t="s">
        <v>71</v>
      </c>
    </row>
    <row r="13" spans="1:1" x14ac:dyDescent="0.3">
      <c r="A13" s="14" t="s">
        <v>72</v>
      </c>
    </row>
    <row r="15" spans="1:1" x14ac:dyDescent="0.3">
      <c r="A15" s="14" t="s">
        <v>73</v>
      </c>
    </row>
    <row r="17" spans="1:1" x14ac:dyDescent="0.3">
      <c r="A17" s="14" t="s">
        <v>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digestion_page</vt:lpstr>
      <vt:lpstr>200120001</vt:lpstr>
      <vt:lpstr>200120002</vt:lpstr>
      <vt:lpstr>200120003</vt:lpstr>
      <vt:lpstr>formula_page</vt:lpstr>
    </vt:vector>
  </TitlesOfParts>
  <Company>Clariant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Archemetre, Carl P.</cp:lastModifiedBy>
  <dcterms:created xsi:type="dcterms:W3CDTF">2026-06-26T04:05:36Z</dcterms:created>
  <dcterms:modified xsi:type="dcterms:W3CDTF">2026-06-26T04:06:46Z</dcterms:modified>
</cp:coreProperties>
</file>