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gestion_page" sheetId="1" r:id="rId1"/>
    <sheet name="200120001" sheetId="2" r:id="rId2"/>
    <sheet name="200120002" sheetId="3" r:id="rId3"/>
    <sheet name="formula_page" sheetId="4" r:id="rId4"/>
  </sheets>
  <calcPr calcId="124519" fullCalcOnLoad="1"/>
</workbook>
</file>

<file path=xl/sharedStrings.xml><?xml version="1.0" encoding="utf-8"?>
<sst xmlns="http://schemas.openxmlformats.org/spreadsheetml/2006/main" count="446" uniqueCount="226">
  <si>
    <t>Date:</t>
  </si>
  <si>
    <t>Request ID:</t>
  </si>
  <si>
    <t>100048600</t>
  </si>
  <si>
    <t>Hotplate</t>
  </si>
  <si>
    <t>Analyte(s)</t>
  </si>
  <si>
    <t>Ca</t>
  </si>
  <si>
    <t>SOP#</t>
  </si>
  <si>
    <t>Cocktail</t>
  </si>
  <si>
    <t>sample(s)</t>
  </si>
  <si>
    <t>weight (g)</t>
  </si>
  <si>
    <t>volume (mL)</t>
  </si>
  <si>
    <t>200120001_1</t>
  </si>
  <si>
    <t>200120001_2</t>
  </si>
  <si>
    <t>200120001_3</t>
  </si>
  <si>
    <t>200120001_4</t>
  </si>
  <si>
    <t>200120001_5</t>
  </si>
  <si>
    <t>200120001_6</t>
  </si>
  <si>
    <t>200120001_7</t>
  </si>
  <si>
    <t>200120001_8</t>
  </si>
  <si>
    <t>200120001_9</t>
  </si>
  <si>
    <t>200120001_10</t>
  </si>
  <si>
    <t>200120001_11</t>
  </si>
  <si>
    <t>200120001_12</t>
  </si>
  <si>
    <t>200120001_13</t>
  </si>
  <si>
    <t>200120001_14</t>
  </si>
  <si>
    <t>200120001_15</t>
  </si>
  <si>
    <t>200120001_16</t>
  </si>
  <si>
    <t>200120001_17</t>
  </si>
  <si>
    <t>200120001_18</t>
  </si>
  <si>
    <t>200120001_19</t>
  </si>
  <si>
    <t>200120001_20</t>
  </si>
  <si>
    <t>200120001_21</t>
  </si>
  <si>
    <t>200120001_22</t>
  </si>
  <si>
    <t>200120001_23</t>
  </si>
  <si>
    <t>200120001_24</t>
  </si>
  <si>
    <t>200120001_25</t>
  </si>
  <si>
    <t>200120001_26</t>
  </si>
  <si>
    <t>200120001_27</t>
  </si>
  <si>
    <t>200120001_28</t>
  </si>
  <si>
    <t>200120001_29</t>
  </si>
  <si>
    <t>200120001_30</t>
  </si>
  <si>
    <t>200120001_31</t>
  </si>
  <si>
    <t>200120001_32</t>
  </si>
  <si>
    <t>200120001_33</t>
  </si>
  <si>
    <t>200120001_34</t>
  </si>
  <si>
    <t>200120001_35</t>
  </si>
  <si>
    <t>200120001_36</t>
  </si>
  <si>
    <t>200120001_37</t>
  </si>
  <si>
    <t>200120001_38</t>
  </si>
  <si>
    <t>200120001_39</t>
  </si>
  <si>
    <t>200120001_40</t>
  </si>
  <si>
    <t>200120001_41</t>
  </si>
  <si>
    <t>200120001_42</t>
  </si>
  <si>
    <t>200120001_43</t>
  </si>
  <si>
    <t>200120001_44</t>
  </si>
  <si>
    <t>200120001_45</t>
  </si>
  <si>
    <t>200120001_46</t>
  </si>
  <si>
    <t>200120001_47</t>
  </si>
  <si>
    <t>200120001_48</t>
  </si>
  <si>
    <t>200120001_49</t>
  </si>
  <si>
    <t>200120001_50</t>
  </si>
  <si>
    <t>200120001_51</t>
  </si>
  <si>
    <t>200120001_52</t>
  </si>
  <si>
    <t>200120001_53</t>
  </si>
  <si>
    <t>200120001_54</t>
  </si>
  <si>
    <t>200120001_55</t>
  </si>
  <si>
    <t>200120001_56</t>
  </si>
  <si>
    <t>200120001_57</t>
  </si>
  <si>
    <t>200120001_58</t>
  </si>
  <si>
    <t>200120001_59</t>
  </si>
  <si>
    <t>200120001_60</t>
  </si>
  <si>
    <t>200120001_61</t>
  </si>
  <si>
    <t>200120001_62</t>
  </si>
  <si>
    <t>200120001_63</t>
  </si>
  <si>
    <t>200120001_64</t>
  </si>
  <si>
    <t>200120001_65</t>
  </si>
  <si>
    <t>200120001_66</t>
  </si>
  <si>
    <t>200120001_67</t>
  </si>
  <si>
    <t>200120001_68</t>
  </si>
  <si>
    <t>200120001_69</t>
  </si>
  <si>
    <t>200120001_70</t>
  </si>
  <si>
    <t>200120001_71</t>
  </si>
  <si>
    <t>200120001_72</t>
  </si>
  <si>
    <t>200120001_73</t>
  </si>
  <si>
    <t>200120001_74</t>
  </si>
  <si>
    <t>200120001_75</t>
  </si>
  <si>
    <t>200120001_76</t>
  </si>
  <si>
    <t>200120001_77</t>
  </si>
  <si>
    <t>200120001_78</t>
  </si>
  <si>
    <t>200120001_79</t>
  </si>
  <si>
    <t>200120001_80</t>
  </si>
  <si>
    <t>200120001_81</t>
  </si>
  <si>
    <t>200120001_82</t>
  </si>
  <si>
    <t>200120001_83</t>
  </si>
  <si>
    <t>200120001_84</t>
  </si>
  <si>
    <t>200120001_85</t>
  </si>
  <si>
    <t>200120001_86</t>
  </si>
  <si>
    <t>200120001_87</t>
  </si>
  <si>
    <t>200120001_88</t>
  </si>
  <si>
    <t>200120001_89</t>
  </si>
  <si>
    <t>200120001_90</t>
  </si>
  <si>
    <t>200120001_91</t>
  </si>
  <si>
    <t>200120001_92</t>
  </si>
  <si>
    <t>200120001_93</t>
  </si>
  <si>
    <t>200120001_94</t>
  </si>
  <si>
    <t>200120001_95</t>
  </si>
  <si>
    <t>200120001_96</t>
  </si>
  <si>
    <t>200120001_97</t>
  </si>
  <si>
    <t>200120001_98</t>
  </si>
  <si>
    <t>200120001_99</t>
  </si>
  <si>
    <t>200120001_100</t>
  </si>
  <si>
    <t>200120001_101</t>
  </si>
  <si>
    <t>200120002_1</t>
  </si>
  <si>
    <t>200120002_2</t>
  </si>
  <si>
    <t>200120002_3</t>
  </si>
  <si>
    <t>200120002_4</t>
  </si>
  <si>
    <t>200120002_5</t>
  </si>
  <si>
    <t>200120002_6</t>
  </si>
  <si>
    <t>200120002_7</t>
  </si>
  <si>
    <t>200120002_8</t>
  </si>
  <si>
    <t>200120002_9</t>
  </si>
  <si>
    <t>200120002_10</t>
  </si>
  <si>
    <t>200120002_11</t>
  </si>
  <si>
    <t>200120002_12</t>
  </si>
  <si>
    <t>200120002_13</t>
  </si>
  <si>
    <t>200120002_14</t>
  </si>
  <si>
    <t>200120002_15</t>
  </si>
  <si>
    <t>200120002_16</t>
  </si>
  <si>
    <t>200120002_17</t>
  </si>
  <si>
    <t>200120002_18</t>
  </si>
  <si>
    <t>200120002_19</t>
  </si>
  <si>
    <t>200120002_20</t>
  </si>
  <si>
    <t>200120002_21</t>
  </si>
  <si>
    <t>200120002_22</t>
  </si>
  <si>
    <t>200120002_23</t>
  </si>
  <si>
    <t>200120002_24</t>
  </si>
  <si>
    <t>200120002_25</t>
  </si>
  <si>
    <t>200120002_26</t>
  </si>
  <si>
    <t>200120002_27</t>
  </si>
  <si>
    <t>200120002_28</t>
  </si>
  <si>
    <t>200120002_29</t>
  </si>
  <si>
    <t>200120002_30</t>
  </si>
  <si>
    <t>200120002_31</t>
  </si>
  <si>
    <t>200120002_32</t>
  </si>
  <si>
    <t>200120002_33</t>
  </si>
  <si>
    <t>200120002_34</t>
  </si>
  <si>
    <t>200120002_35</t>
  </si>
  <si>
    <t>200120002_36</t>
  </si>
  <si>
    <t>200120002_37</t>
  </si>
  <si>
    <t>200120002_38</t>
  </si>
  <si>
    <t>200120002_39</t>
  </si>
  <si>
    <t>200120002_40</t>
  </si>
  <si>
    <t>200120002_41</t>
  </si>
  <si>
    <t>200120002_42</t>
  </si>
  <si>
    <t>200120002_43</t>
  </si>
  <si>
    <t>200120002_44</t>
  </si>
  <si>
    <t>200120002_45</t>
  </si>
  <si>
    <t>200120002_46</t>
  </si>
  <si>
    <t>200120002_47</t>
  </si>
  <si>
    <t>200120002_48</t>
  </si>
  <si>
    <t>200120002_49</t>
  </si>
  <si>
    <t>200120002_50</t>
  </si>
  <si>
    <t>200120002_51</t>
  </si>
  <si>
    <t>200120002_52</t>
  </si>
  <si>
    <t>200120002_53</t>
  </si>
  <si>
    <t>200120002_54</t>
  </si>
  <si>
    <t>200120002_55</t>
  </si>
  <si>
    <t>200120002_56</t>
  </si>
  <si>
    <t>200120002_57</t>
  </si>
  <si>
    <t>200120002_58</t>
  </si>
  <si>
    <t>200120002_59</t>
  </si>
  <si>
    <t>200120002_60</t>
  </si>
  <si>
    <t>200120002_61</t>
  </si>
  <si>
    <t>200120002_62</t>
  </si>
  <si>
    <t>200120002_63</t>
  </si>
  <si>
    <t>200120002_64</t>
  </si>
  <si>
    <t>200120002_65</t>
  </si>
  <si>
    <t>200120002_66</t>
  </si>
  <si>
    <t>200120002_67</t>
  </si>
  <si>
    <t>200120002_68</t>
  </si>
  <si>
    <t>200120002_69</t>
  </si>
  <si>
    <t>200120002_70</t>
  </si>
  <si>
    <t>200120002_71</t>
  </si>
  <si>
    <t>200120002_72</t>
  </si>
  <si>
    <t>200120002_73</t>
  </si>
  <si>
    <t>200120002_74</t>
  </si>
  <si>
    <t>200120002_75</t>
  </si>
  <si>
    <t>200120002_76</t>
  </si>
  <si>
    <t>200120002_77</t>
  </si>
  <si>
    <t>200120002_78</t>
  </si>
  <si>
    <t>200120002_79</t>
  </si>
  <si>
    <t>200120002_80</t>
  </si>
  <si>
    <t>200120002_81</t>
  </si>
  <si>
    <t>200120002_82</t>
  </si>
  <si>
    <t>200120002_83</t>
  </si>
  <si>
    <t>200120002_84</t>
  </si>
  <si>
    <t>200120002_85</t>
  </si>
  <si>
    <t>200120002_86</t>
  </si>
  <si>
    <t>200120002_87</t>
  </si>
  <si>
    <t>200120002_88</t>
  </si>
  <si>
    <t>200120002_89</t>
  </si>
  <si>
    <t>200120002_90</t>
  </si>
  <si>
    <t>200120002_91</t>
  </si>
  <si>
    <t>200120002_92</t>
  </si>
  <si>
    <t>200120002_93</t>
  </si>
  <si>
    <t>200120002_94</t>
  </si>
  <si>
    <t>200120002_95</t>
  </si>
  <si>
    <t>200120002_96</t>
  </si>
  <si>
    <t>200120002_97</t>
  </si>
  <si>
    <t>200120002_98</t>
  </si>
  <si>
    <t>200120002_99</t>
  </si>
  <si>
    <t>200120002_100</t>
  </si>
  <si>
    <t>200120002_101</t>
  </si>
  <si>
    <t>Ca ICP analysis</t>
  </si>
  <si>
    <t>sample</t>
  </si>
  <si>
    <t>Dilution</t>
  </si>
  <si>
    <t>conc. [mg/L]</t>
  </si>
  <si>
    <t>Ca_ppm</t>
  </si>
  <si>
    <t>%Ca</t>
  </si>
  <si>
    <t>ca result:</t>
  </si>
  <si>
    <t>ca lot:</t>
  </si>
  <si>
    <t>Manufacturer: Assurance, 28-35CAY exp: 2026-10-30</t>
  </si>
  <si>
    <t>Note(s):</t>
  </si>
  <si>
    <t>ppm M+ = [conc.][volume][dilution]/[weight]</t>
  </si>
  <si>
    <t>%M+ = [conc.][volume][dilution]/([weight]*10,000)</t>
  </si>
  <si>
    <t>%MO = [oxide factor]*%M+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</si>
</sst>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0.0000"/>
    <numFmt numFmtId="166" formatCode="0.000"/>
    <numFmt numFmtId="167" formatCode="0.00"/>
    <numFmt numFmtId="168" formatCode="0.00&quot; ppm&quot;"/>
    <numFmt numFmtId="169" formatCode="0.00&quot; %&quot;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righ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1">
    <dxf>
      <fill>
        <patternFill>
          <bgColor rgb="FFFFFF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1"/>
  <sheetViews>
    <sheetView tabSelected="1" workbookViewId="0"/>
  </sheetViews>
  <sheetFormatPr defaultRowHeight="15"/>
  <cols>
    <col min="1" max="1" width="14" bestFit="1" customWidth="1"/>
    <col min="2" max="2" width="10.7109375" bestFit="1" customWidth="1"/>
    <col min="3" max="3" width="12.140625" bestFit="1" customWidth="1"/>
  </cols>
  <sheetData>
    <row r="1" spans="1:3">
      <c r="A1" s="1" t="s">
        <v>0</v>
      </c>
      <c r="B1" s="2">
        <v>46211</v>
      </c>
    </row>
    <row r="2" spans="1:3">
      <c r="A2" s="1" t="s">
        <v>1</v>
      </c>
      <c r="B2" s="3" t="s">
        <v>2</v>
      </c>
    </row>
    <row r="5" spans="1:3">
      <c r="A5" s="4" t="s">
        <v>3</v>
      </c>
      <c r="B5" s="4"/>
      <c r="C5" s="4"/>
    </row>
    <row r="6" spans="1:3">
      <c r="A6" s="5" t="s">
        <v>4</v>
      </c>
      <c r="B6" s="6" t="s">
        <v>5</v>
      </c>
      <c r="C6" s="6"/>
    </row>
    <row r="7" spans="1:3">
      <c r="A7" s="5" t="s">
        <v>6</v>
      </c>
      <c r="B7" s="6"/>
      <c r="C7" s="6"/>
    </row>
    <row r="8" spans="1:3">
      <c r="A8" s="5" t="s">
        <v>7</v>
      </c>
      <c r="B8" s="6"/>
      <c r="C8" s="6"/>
    </row>
    <row r="9" spans="1:3">
      <c r="A9" s="5" t="s">
        <v>8</v>
      </c>
      <c r="B9" s="5" t="s">
        <v>9</v>
      </c>
      <c r="C9" s="5" t="s">
        <v>10</v>
      </c>
    </row>
    <row r="10" spans="1:3">
      <c r="A10" s="5" t="s">
        <v>11</v>
      </c>
      <c r="B10" s="7"/>
      <c r="C10" s="6"/>
    </row>
    <row r="11" spans="1:3">
      <c r="A11" s="5" t="s">
        <v>12</v>
      </c>
      <c r="B11" s="7"/>
      <c r="C11" s="6"/>
    </row>
    <row r="12" spans="1:3">
      <c r="A12" s="5" t="s">
        <v>13</v>
      </c>
      <c r="B12" s="7"/>
      <c r="C12" s="6"/>
    </row>
    <row r="13" spans="1:3">
      <c r="A13" s="5" t="s">
        <v>14</v>
      </c>
      <c r="B13" s="7"/>
      <c r="C13" s="6"/>
    </row>
    <row r="14" spans="1:3">
      <c r="A14" s="5" t="s">
        <v>15</v>
      </c>
      <c r="B14" s="7"/>
      <c r="C14" s="6"/>
    </row>
    <row r="15" spans="1:3">
      <c r="A15" s="5" t="s">
        <v>16</v>
      </c>
      <c r="B15" s="7"/>
      <c r="C15" s="6"/>
    </row>
    <row r="16" spans="1:3">
      <c r="A16" s="5" t="s">
        <v>17</v>
      </c>
      <c r="B16" s="7"/>
      <c r="C16" s="6"/>
    </row>
    <row r="17" spans="1:3">
      <c r="A17" s="5" t="s">
        <v>18</v>
      </c>
      <c r="B17" s="7"/>
      <c r="C17" s="6"/>
    </row>
    <row r="18" spans="1:3">
      <c r="A18" s="5" t="s">
        <v>19</v>
      </c>
      <c r="B18" s="7"/>
      <c r="C18" s="6"/>
    </row>
    <row r="19" spans="1:3">
      <c r="A19" s="5" t="s">
        <v>20</v>
      </c>
      <c r="B19" s="7"/>
      <c r="C19" s="6"/>
    </row>
    <row r="20" spans="1:3">
      <c r="A20" s="5" t="s">
        <v>21</v>
      </c>
      <c r="B20" s="7"/>
      <c r="C20" s="6"/>
    </row>
    <row r="21" spans="1:3">
      <c r="A21" s="5" t="s">
        <v>22</v>
      </c>
      <c r="B21" s="7"/>
      <c r="C21" s="6"/>
    </row>
    <row r="22" spans="1:3">
      <c r="A22" s="5" t="s">
        <v>23</v>
      </c>
      <c r="B22" s="7"/>
      <c r="C22" s="6"/>
    </row>
    <row r="23" spans="1:3">
      <c r="A23" s="5" t="s">
        <v>24</v>
      </c>
      <c r="B23" s="7"/>
      <c r="C23" s="6"/>
    </row>
    <row r="24" spans="1:3">
      <c r="A24" s="5" t="s">
        <v>25</v>
      </c>
      <c r="B24" s="7"/>
      <c r="C24" s="6"/>
    </row>
    <row r="25" spans="1:3">
      <c r="A25" s="5" t="s">
        <v>26</v>
      </c>
      <c r="B25" s="7"/>
      <c r="C25" s="6"/>
    </row>
    <row r="26" spans="1:3">
      <c r="A26" s="5" t="s">
        <v>27</v>
      </c>
      <c r="B26" s="7"/>
      <c r="C26" s="6"/>
    </row>
    <row r="27" spans="1:3">
      <c r="A27" s="5" t="s">
        <v>28</v>
      </c>
      <c r="B27" s="7"/>
      <c r="C27" s="6"/>
    </row>
    <row r="28" spans="1:3">
      <c r="A28" s="5" t="s">
        <v>29</v>
      </c>
      <c r="B28" s="7"/>
      <c r="C28" s="6"/>
    </row>
    <row r="29" spans="1:3">
      <c r="A29" s="5" t="s">
        <v>30</v>
      </c>
      <c r="B29" s="7"/>
      <c r="C29" s="6"/>
    </row>
    <row r="30" spans="1:3">
      <c r="A30" s="5" t="s">
        <v>31</v>
      </c>
      <c r="B30" s="7"/>
      <c r="C30" s="6"/>
    </row>
    <row r="31" spans="1:3">
      <c r="A31" s="5" t="s">
        <v>32</v>
      </c>
      <c r="B31" s="7"/>
      <c r="C31" s="6"/>
    </row>
    <row r="32" spans="1:3">
      <c r="A32" s="5" t="s">
        <v>33</v>
      </c>
      <c r="B32" s="7"/>
      <c r="C32" s="6"/>
    </row>
    <row r="33" spans="1:3">
      <c r="A33" s="5" t="s">
        <v>34</v>
      </c>
      <c r="B33" s="7"/>
      <c r="C33" s="6"/>
    </row>
    <row r="34" spans="1:3">
      <c r="A34" s="5" t="s">
        <v>35</v>
      </c>
      <c r="B34" s="7"/>
      <c r="C34" s="6"/>
    </row>
    <row r="35" spans="1:3">
      <c r="A35" s="5" t="s">
        <v>36</v>
      </c>
      <c r="B35" s="7"/>
      <c r="C35" s="6"/>
    </row>
    <row r="36" spans="1:3">
      <c r="A36" s="5" t="s">
        <v>37</v>
      </c>
      <c r="B36" s="7"/>
      <c r="C36" s="6"/>
    </row>
    <row r="37" spans="1:3">
      <c r="A37" s="5" t="s">
        <v>38</v>
      </c>
      <c r="B37" s="7"/>
      <c r="C37" s="6"/>
    </row>
    <row r="38" spans="1:3">
      <c r="A38" s="5" t="s">
        <v>39</v>
      </c>
      <c r="B38" s="7"/>
      <c r="C38" s="6"/>
    </row>
    <row r="39" spans="1:3">
      <c r="A39" s="5" t="s">
        <v>40</v>
      </c>
      <c r="B39" s="7"/>
      <c r="C39" s="6"/>
    </row>
    <row r="40" spans="1:3">
      <c r="A40" s="5" t="s">
        <v>41</v>
      </c>
      <c r="B40" s="7"/>
      <c r="C40" s="6"/>
    </row>
    <row r="41" spans="1:3">
      <c r="A41" s="5" t="s">
        <v>42</v>
      </c>
      <c r="B41" s="7"/>
      <c r="C41" s="6"/>
    </row>
    <row r="42" spans="1:3">
      <c r="A42" s="5" t="s">
        <v>43</v>
      </c>
      <c r="B42" s="7"/>
      <c r="C42" s="6"/>
    </row>
    <row r="43" spans="1:3">
      <c r="A43" s="5" t="s">
        <v>44</v>
      </c>
      <c r="B43" s="7"/>
      <c r="C43" s="6"/>
    </row>
    <row r="44" spans="1:3">
      <c r="A44" s="5" t="s">
        <v>45</v>
      </c>
      <c r="B44" s="7"/>
      <c r="C44" s="6"/>
    </row>
    <row r="45" spans="1:3">
      <c r="A45" s="5" t="s">
        <v>46</v>
      </c>
      <c r="B45" s="7"/>
      <c r="C45" s="6"/>
    </row>
    <row r="46" spans="1:3">
      <c r="A46" s="5" t="s">
        <v>47</v>
      </c>
      <c r="B46" s="7"/>
      <c r="C46" s="6"/>
    </row>
    <row r="47" spans="1:3">
      <c r="A47" s="5" t="s">
        <v>48</v>
      </c>
      <c r="B47" s="7"/>
      <c r="C47" s="6"/>
    </row>
    <row r="48" spans="1:3">
      <c r="A48" s="5" t="s">
        <v>49</v>
      </c>
      <c r="B48" s="7"/>
      <c r="C48" s="6"/>
    </row>
    <row r="49" spans="1:3">
      <c r="A49" s="5" t="s">
        <v>50</v>
      </c>
      <c r="B49" s="7"/>
      <c r="C49" s="6"/>
    </row>
    <row r="50" spans="1:3">
      <c r="A50" s="5" t="s">
        <v>51</v>
      </c>
      <c r="B50" s="7"/>
      <c r="C50" s="6"/>
    </row>
    <row r="51" spans="1:3">
      <c r="A51" s="5" t="s">
        <v>52</v>
      </c>
      <c r="B51" s="7"/>
      <c r="C51" s="6"/>
    </row>
    <row r="52" spans="1:3">
      <c r="A52" s="5" t="s">
        <v>53</v>
      </c>
      <c r="B52" s="7"/>
      <c r="C52" s="6"/>
    </row>
    <row r="53" spans="1:3">
      <c r="A53" s="5" t="s">
        <v>54</v>
      </c>
      <c r="B53" s="7"/>
      <c r="C53" s="6"/>
    </row>
    <row r="54" spans="1:3">
      <c r="A54" s="5" t="s">
        <v>55</v>
      </c>
      <c r="B54" s="7"/>
      <c r="C54" s="6"/>
    </row>
    <row r="55" spans="1:3">
      <c r="A55" s="5" t="s">
        <v>56</v>
      </c>
      <c r="B55" s="7"/>
      <c r="C55" s="6"/>
    </row>
    <row r="56" spans="1:3">
      <c r="A56" s="5" t="s">
        <v>57</v>
      </c>
      <c r="B56" s="7"/>
      <c r="C56" s="6"/>
    </row>
    <row r="57" spans="1:3">
      <c r="A57" s="5" t="s">
        <v>58</v>
      </c>
      <c r="B57" s="7"/>
      <c r="C57" s="6"/>
    </row>
    <row r="58" spans="1:3">
      <c r="A58" s="5" t="s">
        <v>59</v>
      </c>
      <c r="B58" s="7"/>
      <c r="C58" s="6"/>
    </row>
    <row r="59" spans="1:3">
      <c r="A59" s="5" t="s">
        <v>60</v>
      </c>
      <c r="B59" s="7"/>
      <c r="C59" s="6"/>
    </row>
    <row r="60" spans="1:3">
      <c r="A60" s="5" t="s">
        <v>61</v>
      </c>
      <c r="B60" s="7"/>
      <c r="C60" s="6"/>
    </row>
    <row r="61" spans="1:3">
      <c r="A61" s="5" t="s">
        <v>62</v>
      </c>
      <c r="B61" s="7"/>
      <c r="C61" s="6"/>
    </row>
    <row r="62" spans="1:3">
      <c r="A62" s="5" t="s">
        <v>63</v>
      </c>
      <c r="B62" s="7"/>
      <c r="C62" s="6"/>
    </row>
    <row r="63" spans="1:3">
      <c r="A63" s="5" t="s">
        <v>64</v>
      </c>
      <c r="B63" s="7"/>
      <c r="C63" s="6"/>
    </row>
    <row r="64" spans="1:3">
      <c r="A64" s="5" t="s">
        <v>65</v>
      </c>
      <c r="B64" s="7"/>
      <c r="C64" s="6"/>
    </row>
    <row r="65" spans="1:3">
      <c r="A65" s="5" t="s">
        <v>66</v>
      </c>
      <c r="B65" s="7"/>
      <c r="C65" s="6"/>
    </row>
    <row r="66" spans="1:3">
      <c r="A66" s="5" t="s">
        <v>67</v>
      </c>
      <c r="B66" s="7"/>
      <c r="C66" s="6"/>
    </row>
    <row r="67" spans="1:3">
      <c r="A67" s="5" t="s">
        <v>68</v>
      </c>
      <c r="B67" s="7"/>
      <c r="C67" s="6"/>
    </row>
    <row r="68" spans="1:3">
      <c r="A68" s="5" t="s">
        <v>69</v>
      </c>
      <c r="B68" s="7"/>
      <c r="C68" s="6"/>
    </row>
    <row r="69" spans="1:3">
      <c r="A69" s="5" t="s">
        <v>70</v>
      </c>
      <c r="B69" s="7"/>
      <c r="C69" s="6"/>
    </row>
    <row r="70" spans="1:3">
      <c r="A70" s="5" t="s">
        <v>71</v>
      </c>
      <c r="B70" s="7"/>
      <c r="C70" s="6"/>
    </row>
    <row r="71" spans="1:3">
      <c r="A71" s="5" t="s">
        <v>72</v>
      </c>
      <c r="B71" s="7"/>
      <c r="C71" s="6"/>
    </row>
    <row r="72" spans="1:3">
      <c r="A72" s="5" t="s">
        <v>73</v>
      </c>
      <c r="B72" s="7"/>
      <c r="C72" s="6"/>
    </row>
    <row r="73" spans="1:3">
      <c r="A73" s="5" t="s">
        <v>74</v>
      </c>
      <c r="B73" s="7"/>
      <c r="C73" s="6"/>
    </row>
    <row r="74" spans="1:3">
      <c r="A74" s="5" t="s">
        <v>75</v>
      </c>
      <c r="B74" s="7"/>
      <c r="C74" s="6"/>
    </row>
    <row r="75" spans="1:3">
      <c r="A75" s="5" t="s">
        <v>76</v>
      </c>
      <c r="B75" s="7"/>
      <c r="C75" s="6"/>
    </row>
    <row r="76" spans="1:3">
      <c r="A76" s="5" t="s">
        <v>77</v>
      </c>
      <c r="B76" s="7"/>
      <c r="C76" s="6"/>
    </row>
    <row r="77" spans="1:3">
      <c r="A77" s="5" t="s">
        <v>78</v>
      </c>
      <c r="B77" s="7"/>
      <c r="C77" s="6"/>
    </row>
    <row r="78" spans="1:3">
      <c r="A78" s="5" t="s">
        <v>79</v>
      </c>
      <c r="B78" s="7"/>
      <c r="C78" s="6"/>
    </row>
    <row r="79" spans="1:3">
      <c r="A79" s="5" t="s">
        <v>80</v>
      </c>
      <c r="B79" s="7"/>
      <c r="C79" s="6"/>
    </row>
    <row r="80" spans="1:3">
      <c r="A80" s="5" t="s">
        <v>81</v>
      </c>
      <c r="B80" s="7"/>
      <c r="C80" s="6"/>
    </row>
    <row r="81" spans="1:3">
      <c r="A81" s="5" t="s">
        <v>82</v>
      </c>
      <c r="B81" s="7"/>
      <c r="C81" s="6"/>
    </row>
    <row r="82" spans="1:3">
      <c r="A82" s="5" t="s">
        <v>83</v>
      </c>
      <c r="B82" s="7"/>
      <c r="C82" s="6"/>
    </row>
    <row r="83" spans="1:3">
      <c r="A83" s="5" t="s">
        <v>84</v>
      </c>
      <c r="B83" s="7"/>
      <c r="C83" s="6"/>
    </row>
    <row r="84" spans="1:3">
      <c r="A84" s="5" t="s">
        <v>85</v>
      </c>
      <c r="B84" s="7"/>
      <c r="C84" s="6"/>
    </row>
    <row r="85" spans="1:3">
      <c r="A85" s="5" t="s">
        <v>86</v>
      </c>
      <c r="B85" s="7"/>
      <c r="C85" s="6"/>
    </row>
    <row r="86" spans="1:3">
      <c r="A86" s="5" t="s">
        <v>87</v>
      </c>
      <c r="B86" s="7"/>
      <c r="C86" s="6"/>
    </row>
    <row r="87" spans="1:3">
      <c r="A87" s="5" t="s">
        <v>88</v>
      </c>
      <c r="B87" s="7"/>
      <c r="C87" s="6"/>
    </row>
    <row r="88" spans="1:3">
      <c r="A88" s="5" t="s">
        <v>89</v>
      </c>
      <c r="B88" s="7"/>
      <c r="C88" s="6"/>
    </row>
    <row r="89" spans="1:3">
      <c r="A89" s="5" t="s">
        <v>90</v>
      </c>
      <c r="B89" s="7"/>
      <c r="C89" s="6"/>
    </row>
    <row r="90" spans="1:3">
      <c r="A90" s="5" t="s">
        <v>91</v>
      </c>
      <c r="B90" s="7"/>
      <c r="C90" s="6"/>
    </row>
    <row r="91" spans="1:3">
      <c r="A91" s="5" t="s">
        <v>92</v>
      </c>
      <c r="B91" s="7"/>
      <c r="C91" s="6"/>
    </row>
    <row r="92" spans="1:3">
      <c r="A92" s="5" t="s">
        <v>93</v>
      </c>
      <c r="B92" s="7"/>
      <c r="C92" s="6"/>
    </row>
    <row r="93" spans="1:3">
      <c r="A93" s="5" t="s">
        <v>94</v>
      </c>
      <c r="B93" s="7"/>
      <c r="C93" s="6"/>
    </row>
    <row r="94" spans="1:3">
      <c r="A94" s="5" t="s">
        <v>95</v>
      </c>
      <c r="B94" s="7"/>
      <c r="C94" s="6"/>
    </row>
    <row r="95" spans="1:3">
      <c r="A95" s="5" t="s">
        <v>96</v>
      </c>
      <c r="B95" s="7"/>
      <c r="C95" s="6"/>
    </row>
    <row r="96" spans="1:3">
      <c r="A96" s="5" t="s">
        <v>97</v>
      </c>
      <c r="B96" s="7"/>
      <c r="C96" s="6"/>
    </row>
    <row r="97" spans="1:3">
      <c r="A97" s="5" t="s">
        <v>98</v>
      </c>
      <c r="B97" s="7"/>
      <c r="C97" s="6"/>
    </row>
    <row r="98" spans="1:3">
      <c r="A98" s="5" t="s">
        <v>99</v>
      </c>
      <c r="B98" s="7"/>
      <c r="C98" s="6"/>
    </row>
    <row r="99" spans="1:3">
      <c r="A99" s="5" t="s">
        <v>100</v>
      </c>
      <c r="B99" s="7"/>
      <c r="C99" s="6"/>
    </row>
    <row r="100" spans="1:3">
      <c r="A100" s="5" t="s">
        <v>101</v>
      </c>
      <c r="B100" s="7"/>
      <c r="C100" s="6"/>
    </row>
    <row r="101" spans="1:3">
      <c r="A101" s="5" t="s">
        <v>102</v>
      </c>
      <c r="B101" s="7"/>
      <c r="C101" s="6"/>
    </row>
    <row r="102" spans="1:3">
      <c r="A102" s="5" t="s">
        <v>103</v>
      </c>
      <c r="B102" s="7"/>
      <c r="C102" s="6"/>
    </row>
    <row r="103" spans="1:3">
      <c r="A103" s="5" t="s">
        <v>104</v>
      </c>
      <c r="B103" s="7"/>
      <c r="C103" s="6"/>
    </row>
    <row r="104" spans="1:3">
      <c r="A104" s="5" t="s">
        <v>105</v>
      </c>
      <c r="B104" s="7"/>
      <c r="C104" s="6"/>
    </row>
    <row r="105" spans="1:3">
      <c r="A105" s="5" t="s">
        <v>106</v>
      </c>
      <c r="B105" s="7"/>
      <c r="C105" s="6"/>
    </row>
    <row r="106" spans="1:3">
      <c r="A106" s="5" t="s">
        <v>107</v>
      </c>
      <c r="B106" s="7"/>
      <c r="C106" s="6"/>
    </row>
    <row r="107" spans="1:3">
      <c r="A107" s="5" t="s">
        <v>108</v>
      </c>
      <c r="B107" s="7"/>
      <c r="C107" s="6"/>
    </row>
    <row r="108" spans="1:3">
      <c r="A108" s="5" t="s">
        <v>109</v>
      </c>
      <c r="B108" s="7"/>
      <c r="C108" s="6"/>
    </row>
    <row r="109" spans="1:3">
      <c r="A109" s="5" t="s">
        <v>110</v>
      </c>
      <c r="B109" s="7"/>
      <c r="C109" s="6"/>
    </row>
    <row r="110" spans="1:3">
      <c r="A110" s="5" t="s">
        <v>111</v>
      </c>
      <c r="B110" s="7"/>
      <c r="C110" s="6"/>
    </row>
    <row r="111" spans="1:3">
      <c r="A111" s="5" t="s">
        <v>112</v>
      </c>
      <c r="B111" s="7"/>
      <c r="C111" s="6"/>
    </row>
    <row r="112" spans="1:3">
      <c r="A112" s="5" t="s">
        <v>113</v>
      </c>
      <c r="B112" s="7"/>
      <c r="C112" s="6"/>
    </row>
    <row r="113" spans="1:3">
      <c r="A113" s="5" t="s">
        <v>114</v>
      </c>
      <c r="B113" s="7"/>
      <c r="C113" s="6"/>
    </row>
    <row r="114" spans="1:3">
      <c r="A114" s="5" t="s">
        <v>115</v>
      </c>
      <c r="B114" s="7"/>
      <c r="C114" s="6"/>
    </row>
    <row r="115" spans="1:3">
      <c r="A115" s="5" t="s">
        <v>116</v>
      </c>
      <c r="B115" s="7"/>
      <c r="C115" s="6"/>
    </row>
    <row r="116" spans="1:3">
      <c r="A116" s="5" t="s">
        <v>117</v>
      </c>
      <c r="B116" s="7"/>
      <c r="C116" s="6"/>
    </row>
    <row r="117" spans="1:3">
      <c r="A117" s="5" t="s">
        <v>118</v>
      </c>
      <c r="B117" s="7"/>
      <c r="C117" s="6"/>
    </row>
    <row r="118" spans="1:3">
      <c r="A118" s="5" t="s">
        <v>119</v>
      </c>
      <c r="B118" s="7"/>
      <c r="C118" s="6"/>
    </row>
    <row r="119" spans="1:3">
      <c r="A119" s="5" t="s">
        <v>120</v>
      </c>
      <c r="B119" s="7"/>
      <c r="C119" s="6"/>
    </row>
    <row r="120" spans="1:3">
      <c r="A120" s="5" t="s">
        <v>121</v>
      </c>
      <c r="B120" s="7"/>
      <c r="C120" s="6"/>
    </row>
    <row r="121" spans="1:3">
      <c r="A121" s="5" t="s">
        <v>122</v>
      </c>
      <c r="B121" s="7"/>
      <c r="C121" s="6"/>
    </row>
    <row r="122" spans="1:3">
      <c r="A122" s="5" t="s">
        <v>123</v>
      </c>
      <c r="B122" s="7"/>
      <c r="C122" s="6"/>
    </row>
    <row r="123" spans="1:3">
      <c r="A123" s="5" t="s">
        <v>124</v>
      </c>
      <c r="B123" s="7"/>
      <c r="C123" s="6"/>
    </row>
    <row r="124" spans="1:3">
      <c r="A124" s="5" t="s">
        <v>125</v>
      </c>
      <c r="B124" s="7"/>
      <c r="C124" s="6"/>
    </row>
    <row r="125" spans="1:3">
      <c r="A125" s="5" t="s">
        <v>126</v>
      </c>
      <c r="B125" s="7"/>
      <c r="C125" s="6"/>
    </row>
    <row r="126" spans="1:3">
      <c r="A126" s="5" t="s">
        <v>127</v>
      </c>
      <c r="B126" s="7"/>
      <c r="C126" s="6"/>
    </row>
    <row r="127" spans="1:3">
      <c r="A127" s="5" t="s">
        <v>128</v>
      </c>
      <c r="B127" s="7"/>
      <c r="C127" s="6"/>
    </row>
    <row r="128" spans="1:3">
      <c r="A128" s="5" t="s">
        <v>129</v>
      </c>
      <c r="B128" s="7"/>
      <c r="C128" s="6"/>
    </row>
    <row r="129" spans="1:3">
      <c r="A129" s="5" t="s">
        <v>130</v>
      </c>
      <c r="B129" s="7"/>
      <c r="C129" s="6"/>
    </row>
    <row r="130" spans="1:3">
      <c r="A130" s="5" t="s">
        <v>131</v>
      </c>
      <c r="B130" s="7"/>
      <c r="C130" s="6"/>
    </row>
    <row r="131" spans="1:3">
      <c r="A131" s="5" t="s">
        <v>132</v>
      </c>
      <c r="B131" s="7"/>
      <c r="C131" s="6"/>
    </row>
    <row r="132" spans="1:3">
      <c r="A132" s="5" t="s">
        <v>133</v>
      </c>
      <c r="B132" s="7"/>
      <c r="C132" s="6"/>
    </row>
    <row r="133" spans="1:3">
      <c r="A133" s="5" t="s">
        <v>134</v>
      </c>
      <c r="B133" s="7"/>
      <c r="C133" s="6"/>
    </row>
    <row r="134" spans="1:3">
      <c r="A134" s="5" t="s">
        <v>135</v>
      </c>
      <c r="B134" s="7"/>
      <c r="C134" s="6"/>
    </row>
    <row r="135" spans="1:3">
      <c r="A135" s="5" t="s">
        <v>136</v>
      </c>
      <c r="B135" s="7"/>
      <c r="C135" s="6"/>
    </row>
    <row r="136" spans="1:3">
      <c r="A136" s="5" t="s">
        <v>137</v>
      </c>
      <c r="B136" s="7"/>
      <c r="C136" s="6"/>
    </row>
    <row r="137" spans="1:3">
      <c r="A137" s="5" t="s">
        <v>138</v>
      </c>
      <c r="B137" s="7"/>
      <c r="C137" s="6"/>
    </row>
    <row r="138" spans="1:3">
      <c r="A138" s="5" t="s">
        <v>139</v>
      </c>
      <c r="B138" s="7"/>
      <c r="C138" s="6"/>
    </row>
    <row r="139" spans="1:3">
      <c r="A139" s="5" t="s">
        <v>140</v>
      </c>
      <c r="B139" s="7"/>
      <c r="C139" s="6"/>
    </row>
    <row r="140" spans="1:3">
      <c r="A140" s="5" t="s">
        <v>141</v>
      </c>
      <c r="B140" s="7"/>
      <c r="C140" s="6"/>
    </row>
    <row r="141" spans="1:3">
      <c r="A141" s="5" t="s">
        <v>142</v>
      </c>
      <c r="B141" s="7"/>
      <c r="C141" s="6"/>
    </row>
    <row r="142" spans="1:3">
      <c r="A142" s="5" t="s">
        <v>143</v>
      </c>
      <c r="B142" s="7"/>
      <c r="C142" s="6"/>
    </row>
    <row r="143" spans="1:3">
      <c r="A143" s="5" t="s">
        <v>144</v>
      </c>
      <c r="B143" s="7"/>
      <c r="C143" s="6"/>
    </row>
    <row r="144" spans="1:3">
      <c r="A144" s="5" t="s">
        <v>145</v>
      </c>
      <c r="B144" s="7"/>
      <c r="C144" s="6"/>
    </row>
    <row r="145" spans="1:3">
      <c r="A145" s="5" t="s">
        <v>146</v>
      </c>
      <c r="B145" s="7"/>
      <c r="C145" s="6"/>
    </row>
    <row r="146" spans="1:3">
      <c r="A146" s="5" t="s">
        <v>147</v>
      </c>
      <c r="B146" s="7"/>
      <c r="C146" s="6"/>
    </row>
    <row r="147" spans="1:3">
      <c r="A147" s="5" t="s">
        <v>148</v>
      </c>
      <c r="B147" s="7"/>
      <c r="C147" s="6"/>
    </row>
    <row r="148" spans="1:3">
      <c r="A148" s="5" t="s">
        <v>149</v>
      </c>
      <c r="B148" s="7"/>
      <c r="C148" s="6"/>
    </row>
    <row r="149" spans="1:3">
      <c r="A149" s="5" t="s">
        <v>150</v>
      </c>
      <c r="B149" s="7"/>
      <c r="C149" s="6"/>
    </row>
    <row r="150" spans="1:3">
      <c r="A150" s="5" t="s">
        <v>151</v>
      </c>
      <c r="B150" s="7"/>
      <c r="C150" s="6"/>
    </row>
    <row r="151" spans="1:3">
      <c r="A151" s="5" t="s">
        <v>152</v>
      </c>
      <c r="B151" s="7"/>
      <c r="C151" s="6"/>
    </row>
    <row r="152" spans="1:3">
      <c r="A152" s="5" t="s">
        <v>153</v>
      </c>
      <c r="B152" s="7"/>
      <c r="C152" s="6"/>
    </row>
    <row r="153" spans="1:3">
      <c r="A153" s="5" t="s">
        <v>154</v>
      </c>
      <c r="B153" s="7"/>
      <c r="C153" s="6"/>
    </row>
    <row r="154" spans="1:3">
      <c r="A154" s="5" t="s">
        <v>155</v>
      </c>
      <c r="B154" s="7"/>
      <c r="C154" s="6"/>
    </row>
    <row r="155" spans="1:3">
      <c r="A155" s="5" t="s">
        <v>156</v>
      </c>
      <c r="B155" s="7"/>
      <c r="C155" s="6"/>
    </row>
    <row r="156" spans="1:3">
      <c r="A156" s="5" t="s">
        <v>157</v>
      </c>
      <c r="B156" s="7"/>
      <c r="C156" s="6"/>
    </row>
    <row r="157" spans="1:3">
      <c r="A157" s="5" t="s">
        <v>158</v>
      </c>
      <c r="B157" s="7"/>
      <c r="C157" s="6"/>
    </row>
    <row r="158" spans="1:3">
      <c r="A158" s="5" t="s">
        <v>159</v>
      </c>
      <c r="B158" s="7"/>
      <c r="C158" s="6"/>
    </row>
    <row r="159" spans="1:3">
      <c r="A159" s="5" t="s">
        <v>160</v>
      </c>
      <c r="B159" s="7"/>
      <c r="C159" s="6"/>
    </row>
    <row r="160" spans="1:3">
      <c r="A160" s="5" t="s">
        <v>161</v>
      </c>
      <c r="B160" s="7"/>
      <c r="C160" s="6"/>
    </row>
    <row r="161" spans="1:3">
      <c r="A161" s="5" t="s">
        <v>162</v>
      </c>
      <c r="B161" s="7"/>
      <c r="C161" s="6"/>
    </row>
    <row r="162" spans="1:3">
      <c r="A162" s="5" t="s">
        <v>163</v>
      </c>
      <c r="B162" s="7"/>
      <c r="C162" s="6"/>
    </row>
    <row r="163" spans="1:3">
      <c r="A163" s="5" t="s">
        <v>164</v>
      </c>
      <c r="B163" s="7"/>
      <c r="C163" s="6"/>
    </row>
    <row r="164" spans="1:3">
      <c r="A164" s="5" t="s">
        <v>165</v>
      </c>
      <c r="B164" s="7"/>
      <c r="C164" s="6"/>
    </row>
    <row r="165" spans="1:3">
      <c r="A165" s="5" t="s">
        <v>166</v>
      </c>
      <c r="B165" s="7"/>
      <c r="C165" s="6"/>
    </row>
    <row r="166" spans="1:3">
      <c r="A166" s="5" t="s">
        <v>167</v>
      </c>
      <c r="B166" s="7"/>
      <c r="C166" s="6"/>
    </row>
    <row r="167" spans="1:3">
      <c r="A167" s="5" t="s">
        <v>168</v>
      </c>
      <c r="B167" s="7"/>
      <c r="C167" s="6"/>
    </row>
    <row r="168" spans="1:3">
      <c r="A168" s="5" t="s">
        <v>169</v>
      </c>
      <c r="B168" s="7"/>
      <c r="C168" s="6"/>
    </row>
    <row r="169" spans="1:3">
      <c r="A169" s="5" t="s">
        <v>170</v>
      </c>
      <c r="B169" s="7"/>
      <c r="C169" s="6"/>
    </row>
    <row r="170" spans="1:3">
      <c r="A170" s="5" t="s">
        <v>171</v>
      </c>
      <c r="B170" s="7"/>
      <c r="C170" s="6"/>
    </row>
    <row r="171" spans="1:3">
      <c r="A171" s="5" t="s">
        <v>172</v>
      </c>
      <c r="B171" s="7"/>
      <c r="C171" s="6"/>
    </row>
    <row r="172" spans="1:3">
      <c r="A172" s="5" t="s">
        <v>173</v>
      </c>
      <c r="B172" s="7"/>
      <c r="C172" s="6"/>
    </row>
    <row r="173" spans="1:3">
      <c r="A173" s="5" t="s">
        <v>174</v>
      </c>
      <c r="B173" s="7"/>
      <c r="C173" s="6"/>
    </row>
    <row r="174" spans="1:3">
      <c r="A174" s="5" t="s">
        <v>175</v>
      </c>
      <c r="B174" s="7"/>
      <c r="C174" s="6"/>
    </row>
    <row r="175" spans="1:3">
      <c r="A175" s="5" t="s">
        <v>176</v>
      </c>
      <c r="B175" s="7"/>
      <c r="C175" s="6"/>
    </row>
    <row r="176" spans="1:3">
      <c r="A176" s="5" t="s">
        <v>177</v>
      </c>
      <c r="B176" s="7"/>
      <c r="C176" s="6"/>
    </row>
    <row r="177" spans="1:3">
      <c r="A177" s="5" t="s">
        <v>178</v>
      </c>
      <c r="B177" s="7"/>
      <c r="C177" s="6"/>
    </row>
    <row r="178" spans="1:3">
      <c r="A178" s="5" t="s">
        <v>179</v>
      </c>
      <c r="B178" s="7"/>
      <c r="C178" s="6"/>
    </row>
    <row r="179" spans="1:3">
      <c r="A179" s="5" t="s">
        <v>180</v>
      </c>
      <c r="B179" s="7"/>
      <c r="C179" s="6"/>
    </row>
    <row r="180" spans="1:3">
      <c r="A180" s="5" t="s">
        <v>181</v>
      </c>
      <c r="B180" s="7"/>
      <c r="C180" s="6"/>
    </row>
    <row r="181" spans="1:3">
      <c r="A181" s="5" t="s">
        <v>182</v>
      </c>
      <c r="B181" s="7"/>
      <c r="C181" s="6"/>
    </row>
    <row r="182" spans="1:3">
      <c r="A182" s="5" t="s">
        <v>183</v>
      </c>
      <c r="B182" s="7"/>
      <c r="C182" s="6"/>
    </row>
    <row r="183" spans="1:3">
      <c r="A183" s="5" t="s">
        <v>184</v>
      </c>
      <c r="B183" s="7"/>
      <c r="C183" s="6"/>
    </row>
    <row r="184" spans="1:3">
      <c r="A184" s="5" t="s">
        <v>185</v>
      </c>
      <c r="B184" s="7"/>
      <c r="C184" s="6"/>
    </row>
    <row r="185" spans="1:3">
      <c r="A185" s="5" t="s">
        <v>186</v>
      </c>
      <c r="B185" s="7"/>
      <c r="C185" s="6"/>
    </row>
    <row r="186" spans="1:3">
      <c r="A186" s="5" t="s">
        <v>187</v>
      </c>
      <c r="B186" s="7"/>
      <c r="C186" s="6"/>
    </row>
    <row r="187" spans="1:3">
      <c r="A187" s="5" t="s">
        <v>188</v>
      </c>
      <c r="B187" s="7"/>
      <c r="C187" s="6"/>
    </row>
    <row r="188" spans="1:3">
      <c r="A188" s="5" t="s">
        <v>189</v>
      </c>
      <c r="B188" s="7"/>
      <c r="C188" s="6"/>
    </row>
    <row r="189" spans="1:3">
      <c r="A189" s="5" t="s">
        <v>190</v>
      </c>
      <c r="B189" s="7"/>
      <c r="C189" s="6"/>
    </row>
    <row r="190" spans="1:3">
      <c r="A190" s="5" t="s">
        <v>191</v>
      </c>
      <c r="B190" s="7"/>
      <c r="C190" s="6"/>
    </row>
    <row r="191" spans="1:3">
      <c r="A191" s="5" t="s">
        <v>192</v>
      </c>
      <c r="B191" s="7"/>
      <c r="C191" s="6"/>
    </row>
    <row r="192" spans="1:3">
      <c r="A192" s="5" t="s">
        <v>193</v>
      </c>
      <c r="B192" s="7"/>
      <c r="C192" s="6"/>
    </row>
    <row r="193" spans="1:3">
      <c r="A193" s="5" t="s">
        <v>194</v>
      </c>
      <c r="B193" s="7"/>
      <c r="C193" s="6"/>
    </row>
    <row r="194" spans="1:3">
      <c r="A194" s="5" t="s">
        <v>195</v>
      </c>
      <c r="B194" s="7"/>
      <c r="C194" s="6"/>
    </row>
    <row r="195" spans="1:3">
      <c r="A195" s="5" t="s">
        <v>196</v>
      </c>
      <c r="B195" s="7"/>
      <c r="C195" s="6"/>
    </row>
    <row r="196" spans="1:3">
      <c r="A196" s="5" t="s">
        <v>197</v>
      </c>
      <c r="B196" s="7"/>
      <c r="C196" s="6"/>
    </row>
    <row r="197" spans="1:3">
      <c r="A197" s="5" t="s">
        <v>198</v>
      </c>
      <c r="B197" s="7"/>
      <c r="C197" s="6"/>
    </row>
    <row r="198" spans="1:3">
      <c r="A198" s="5" t="s">
        <v>199</v>
      </c>
      <c r="B198" s="7"/>
      <c r="C198" s="6"/>
    </row>
    <row r="199" spans="1:3">
      <c r="A199" s="5" t="s">
        <v>200</v>
      </c>
      <c r="B199" s="7"/>
      <c r="C199" s="6"/>
    </row>
    <row r="200" spans="1:3">
      <c r="A200" s="5" t="s">
        <v>201</v>
      </c>
      <c r="B200" s="7"/>
      <c r="C200" s="6"/>
    </row>
    <row r="201" spans="1:3">
      <c r="A201" s="5" t="s">
        <v>202</v>
      </c>
      <c r="B201" s="7"/>
      <c r="C201" s="6"/>
    </row>
    <row r="202" spans="1:3">
      <c r="A202" s="5" t="s">
        <v>203</v>
      </c>
      <c r="B202" s="7"/>
      <c r="C202" s="6"/>
    </row>
    <row r="203" spans="1:3">
      <c r="A203" s="5" t="s">
        <v>204</v>
      </c>
      <c r="B203" s="7"/>
      <c r="C203" s="6"/>
    </row>
    <row r="204" spans="1:3">
      <c r="A204" s="5" t="s">
        <v>205</v>
      </c>
      <c r="B204" s="7"/>
      <c r="C204" s="6"/>
    </row>
    <row r="205" spans="1:3">
      <c r="A205" s="5" t="s">
        <v>206</v>
      </c>
      <c r="B205" s="7"/>
      <c r="C205" s="6"/>
    </row>
    <row r="206" spans="1:3">
      <c r="A206" s="5" t="s">
        <v>207</v>
      </c>
      <c r="B206" s="7"/>
      <c r="C206" s="6"/>
    </row>
    <row r="207" spans="1:3">
      <c r="A207" s="5" t="s">
        <v>208</v>
      </c>
      <c r="B207" s="7"/>
      <c r="C207" s="6"/>
    </row>
    <row r="208" spans="1:3">
      <c r="A208" s="5" t="s">
        <v>209</v>
      </c>
      <c r="B208" s="7"/>
      <c r="C208" s="6"/>
    </row>
    <row r="209" spans="1:3">
      <c r="A209" s="5" t="s">
        <v>210</v>
      </c>
      <c r="B209" s="7"/>
      <c r="C209" s="6"/>
    </row>
    <row r="210" spans="1:3">
      <c r="A210" s="5" t="s">
        <v>211</v>
      </c>
      <c r="B210" s="7"/>
      <c r="C210" s="6"/>
    </row>
    <row r="211" spans="1:3">
      <c r="A211" s="5" t="s">
        <v>212</v>
      </c>
      <c r="B211" s="7"/>
      <c r="C211" s="6"/>
    </row>
  </sheetData>
  <mergeCells count="4">
    <mergeCell ref="A5:C5"/>
    <mergeCell ref="B6:C6"/>
    <mergeCell ref="B7:C7"/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5"/>
  <sheetViews>
    <sheetView workbookViewId="0"/>
  </sheetViews>
  <sheetFormatPr defaultRowHeight="15"/>
  <cols>
    <col min="1" max="1" width="14" bestFit="1" customWidth="1"/>
    <col min="2" max="2" width="10.7109375" bestFit="1" customWidth="1"/>
    <col min="3" max="3" width="12.7109375" customWidth="1"/>
    <col min="4" max="4" width="8.140625" bestFit="1" customWidth="1"/>
    <col min="5" max="6" width="7.7109375" customWidth="1"/>
  </cols>
  <sheetData>
    <row r="1" spans="1:9">
      <c r="A1" s="1" t="s">
        <v>0</v>
      </c>
      <c r="B1" s="2">
        <v>46211</v>
      </c>
    </row>
    <row r="2" spans="1:9">
      <c r="A2" s="1" t="s">
        <v>1</v>
      </c>
      <c r="B2" s="3" t="s">
        <v>2</v>
      </c>
    </row>
    <row r="5" spans="1:9">
      <c r="A5" s="3" t="s">
        <v>213</v>
      </c>
      <c r="B5" s="3"/>
    </row>
    <row r="6" spans="1:9">
      <c r="A6" s="5" t="s">
        <v>214</v>
      </c>
      <c r="B6" s="5" t="s">
        <v>215</v>
      </c>
      <c r="C6" s="5" t="s">
        <v>216</v>
      </c>
      <c r="D6" s="5" t="s">
        <v>217</v>
      </c>
      <c r="E6" s="5" t="s">
        <v>218</v>
      </c>
    </row>
    <row r="7" spans="1:9">
      <c r="A7" s="5" t="s">
        <v>11</v>
      </c>
      <c r="B7" s="6">
        <f>"1/1"</f>
        <v>0</v>
      </c>
      <c r="C7" s="8"/>
      <c r="D7" s="9">
        <f>((C7)*(H7)*(I7))/(G7*1)</f>
        <v>0</v>
      </c>
      <c r="E7" s="9">
        <f>D7/10000</f>
        <v>0</v>
      </c>
      <c r="G7" s="10">
        <f>digestion_page!B10</f>
        <v>0</v>
      </c>
      <c r="H7" s="10">
        <f>digestion_page!C10</f>
        <v>0</v>
      </c>
      <c r="I7" s="10">
        <f>(LEFT(B7,FIND("/",B7)-1)/RIGHT(B7,LEN(B7)-FIND("/", B7)))</f>
        <v>0</v>
      </c>
    </row>
    <row r="8" spans="1:9">
      <c r="A8" s="5" t="s">
        <v>12</v>
      </c>
      <c r="B8" s="6">
        <f>"1/1"</f>
        <v>0</v>
      </c>
      <c r="C8" s="8"/>
      <c r="D8" s="9">
        <f>((C8)*(H8)*(I8))/(G8*1)</f>
        <v>0</v>
      </c>
      <c r="E8" s="9">
        <f>D8/10000</f>
        <v>0</v>
      </c>
      <c r="G8" s="10">
        <f>digestion_page!B11</f>
        <v>0</v>
      </c>
      <c r="H8" s="10">
        <f>digestion_page!C11</f>
        <v>0</v>
      </c>
      <c r="I8" s="10">
        <f>(LEFT(B8,FIND("/",B8)-1)/RIGHT(B8,LEN(B8)-FIND("/", B8)))</f>
        <v>0</v>
      </c>
    </row>
    <row r="9" spans="1:9">
      <c r="A9" s="5" t="s">
        <v>13</v>
      </c>
      <c r="B9" s="6">
        <f>"1/1"</f>
        <v>0</v>
      </c>
      <c r="C9" s="8"/>
      <c r="D9" s="9">
        <f>((C9)*(H9)*(I9))/(G9*1)</f>
        <v>0</v>
      </c>
      <c r="E9" s="9">
        <f>D9/10000</f>
        <v>0</v>
      </c>
      <c r="G9" s="10">
        <f>digestion_page!B12</f>
        <v>0</v>
      </c>
      <c r="H9" s="10">
        <f>digestion_page!C12</f>
        <v>0</v>
      </c>
      <c r="I9" s="10">
        <f>(LEFT(B9,FIND("/",B9)-1)/RIGHT(B9,LEN(B9)-FIND("/", B9)))</f>
        <v>0</v>
      </c>
    </row>
    <row r="10" spans="1:9">
      <c r="A10" s="5" t="s">
        <v>14</v>
      </c>
      <c r="B10" s="6">
        <f>"1/1"</f>
        <v>0</v>
      </c>
      <c r="C10" s="8"/>
      <c r="D10" s="9">
        <f>((C10)*(H10)*(I10))/(G10*1)</f>
        <v>0</v>
      </c>
      <c r="E10" s="9">
        <f>D10/10000</f>
        <v>0</v>
      </c>
      <c r="G10" s="10">
        <f>digestion_page!B13</f>
        <v>0</v>
      </c>
      <c r="H10" s="10">
        <f>digestion_page!C13</f>
        <v>0</v>
      </c>
      <c r="I10" s="10">
        <f>(LEFT(B10,FIND("/",B10)-1)/RIGHT(B10,LEN(B10)-FIND("/", B10)))</f>
        <v>0</v>
      </c>
    </row>
    <row r="11" spans="1:9">
      <c r="A11" s="5" t="s">
        <v>15</v>
      </c>
      <c r="B11" s="6">
        <f>"1/1"</f>
        <v>0</v>
      </c>
      <c r="C11" s="8"/>
      <c r="D11" s="9">
        <f>((C11)*(H11)*(I11))/(G11*1)</f>
        <v>0</v>
      </c>
      <c r="E11" s="9">
        <f>D11/10000</f>
        <v>0</v>
      </c>
      <c r="G11" s="10">
        <f>digestion_page!B14</f>
        <v>0</v>
      </c>
      <c r="H11" s="10">
        <f>digestion_page!C14</f>
        <v>0</v>
      </c>
      <c r="I11" s="10">
        <f>(LEFT(B11,FIND("/",B11)-1)/RIGHT(B11,LEN(B11)-FIND("/", B11)))</f>
        <v>0</v>
      </c>
    </row>
    <row r="12" spans="1:9">
      <c r="A12" s="5" t="s">
        <v>16</v>
      </c>
      <c r="B12" s="6">
        <f>"1/1"</f>
        <v>0</v>
      </c>
      <c r="C12" s="8"/>
      <c r="D12" s="9">
        <f>((C12)*(H12)*(I12))/(G12*1)</f>
        <v>0</v>
      </c>
      <c r="E12" s="9">
        <f>D12/10000</f>
        <v>0</v>
      </c>
      <c r="G12" s="10">
        <f>digestion_page!B15</f>
        <v>0</v>
      </c>
      <c r="H12" s="10">
        <f>digestion_page!C15</f>
        <v>0</v>
      </c>
      <c r="I12" s="10">
        <f>(LEFT(B12,FIND("/",B12)-1)/RIGHT(B12,LEN(B12)-FIND("/", B12)))</f>
        <v>0</v>
      </c>
    </row>
    <row r="13" spans="1:9">
      <c r="A13" s="5" t="s">
        <v>17</v>
      </c>
      <c r="B13" s="6">
        <f>"1/1"</f>
        <v>0</v>
      </c>
      <c r="C13" s="8"/>
      <c r="D13" s="9">
        <f>((C13)*(H13)*(I13))/(G13*1)</f>
        <v>0</v>
      </c>
      <c r="E13" s="9">
        <f>D13/10000</f>
        <v>0</v>
      </c>
      <c r="G13" s="10">
        <f>digestion_page!B16</f>
        <v>0</v>
      </c>
      <c r="H13" s="10">
        <f>digestion_page!C16</f>
        <v>0</v>
      </c>
      <c r="I13" s="10">
        <f>(LEFT(B13,FIND("/",B13)-1)/RIGHT(B13,LEN(B13)-FIND("/", B13)))</f>
        <v>0</v>
      </c>
    </row>
    <row r="14" spans="1:9">
      <c r="A14" s="5" t="s">
        <v>18</v>
      </c>
      <c r="B14" s="6">
        <f>"1/1"</f>
        <v>0</v>
      </c>
      <c r="C14" s="8"/>
      <c r="D14" s="9">
        <f>((C14)*(H14)*(I14))/(G14*1)</f>
        <v>0</v>
      </c>
      <c r="E14" s="9">
        <f>D14/10000</f>
        <v>0</v>
      </c>
      <c r="G14" s="10">
        <f>digestion_page!B17</f>
        <v>0</v>
      </c>
      <c r="H14" s="10">
        <f>digestion_page!C17</f>
        <v>0</v>
      </c>
      <c r="I14" s="10">
        <f>(LEFT(B14,FIND("/",B14)-1)/RIGHT(B14,LEN(B14)-FIND("/", B14)))</f>
        <v>0</v>
      </c>
    </row>
    <row r="15" spans="1:9">
      <c r="A15" s="5" t="s">
        <v>19</v>
      </c>
      <c r="B15" s="6">
        <f>"1/1"</f>
        <v>0</v>
      </c>
      <c r="C15" s="8"/>
      <c r="D15" s="9">
        <f>((C15)*(H15)*(I15))/(G15*1)</f>
        <v>0</v>
      </c>
      <c r="E15" s="9">
        <f>D15/10000</f>
        <v>0</v>
      </c>
      <c r="G15" s="10">
        <f>digestion_page!B18</f>
        <v>0</v>
      </c>
      <c r="H15" s="10">
        <f>digestion_page!C18</f>
        <v>0</v>
      </c>
      <c r="I15" s="10">
        <f>(LEFT(B15,FIND("/",B15)-1)/RIGHT(B15,LEN(B15)-FIND("/", B15)))</f>
        <v>0</v>
      </c>
    </row>
    <row r="16" spans="1:9">
      <c r="A16" s="5" t="s">
        <v>20</v>
      </c>
      <c r="B16" s="6">
        <f>"1/1"</f>
        <v>0</v>
      </c>
      <c r="C16" s="8"/>
      <c r="D16" s="9">
        <f>((C16)*(H16)*(I16))/(G16*1)</f>
        <v>0</v>
      </c>
      <c r="E16" s="9">
        <f>D16/10000</f>
        <v>0</v>
      </c>
      <c r="G16" s="10">
        <f>digestion_page!B19</f>
        <v>0</v>
      </c>
      <c r="H16" s="10">
        <f>digestion_page!C19</f>
        <v>0</v>
      </c>
      <c r="I16" s="10">
        <f>(LEFT(B16,FIND("/",B16)-1)/RIGHT(B16,LEN(B16)-FIND("/", B16)))</f>
        <v>0</v>
      </c>
    </row>
    <row r="17" spans="1:9">
      <c r="A17" s="5" t="s">
        <v>21</v>
      </c>
      <c r="B17" s="6">
        <f>"1/1"</f>
        <v>0</v>
      </c>
      <c r="C17" s="8"/>
      <c r="D17" s="9">
        <f>((C17)*(H17)*(I17))/(G17*1)</f>
        <v>0</v>
      </c>
      <c r="E17" s="9">
        <f>D17/10000</f>
        <v>0</v>
      </c>
      <c r="G17" s="10">
        <f>digestion_page!B20</f>
        <v>0</v>
      </c>
      <c r="H17" s="10">
        <f>digestion_page!C20</f>
        <v>0</v>
      </c>
      <c r="I17" s="10">
        <f>(LEFT(B17,FIND("/",B17)-1)/RIGHT(B17,LEN(B17)-FIND("/", B17)))</f>
        <v>0</v>
      </c>
    </row>
    <row r="18" spans="1:9">
      <c r="A18" s="5" t="s">
        <v>22</v>
      </c>
      <c r="B18" s="6">
        <f>"1/1"</f>
        <v>0</v>
      </c>
      <c r="C18" s="8"/>
      <c r="D18" s="9">
        <f>((C18)*(H18)*(I18))/(G18*1)</f>
        <v>0</v>
      </c>
      <c r="E18" s="9">
        <f>D18/10000</f>
        <v>0</v>
      </c>
      <c r="G18" s="10">
        <f>digestion_page!B21</f>
        <v>0</v>
      </c>
      <c r="H18" s="10">
        <f>digestion_page!C21</f>
        <v>0</v>
      </c>
      <c r="I18" s="10">
        <f>(LEFT(B18,FIND("/",B18)-1)/RIGHT(B18,LEN(B18)-FIND("/", B18)))</f>
        <v>0</v>
      </c>
    </row>
    <row r="19" spans="1:9">
      <c r="A19" s="5" t="s">
        <v>23</v>
      </c>
      <c r="B19" s="6">
        <f>"1/1"</f>
        <v>0</v>
      </c>
      <c r="C19" s="8"/>
      <c r="D19" s="9">
        <f>((C19)*(H19)*(I19))/(G19*1)</f>
        <v>0</v>
      </c>
      <c r="E19" s="9">
        <f>D19/10000</f>
        <v>0</v>
      </c>
      <c r="G19" s="10">
        <f>digestion_page!B22</f>
        <v>0</v>
      </c>
      <c r="H19" s="10">
        <f>digestion_page!C22</f>
        <v>0</v>
      </c>
      <c r="I19" s="10">
        <f>(LEFT(B19,FIND("/",B19)-1)/RIGHT(B19,LEN(B19)-FIND("/", B19)))</f>
        <v>0</v>
      </c>
    </row>
    <row r="20" spans="1:9">
      <c r="A20" s="5" t="s">
        <v>24</v>
      </c>
      <c r="B20" s="6">
        <f>"1/1"</f>
        <v>0</v>
      </c>
      <c r="C20" s="8"/>
      <c r="D20" s="9">
        <f>((C20)*(H20)*(I20))/(G20*1)</f>
        <v>0</v>
      </c>
      <c r="E20" s="9">
        <f>D20/10000</f>
        <v>0</v>
      </c>
      <c r="G20" s="10">
        <f>digestion_page!B23</f>
        <v>0</v>
      </c>
      <c r="H20" s="10">
        <f>digestion_page!C23</f>
        <v>0</v>
      </c>
      <c r="I20" s="10">
        <f>(LEFT(B20,FIND("/",B20)-1)/RIGHT(B20,LEN(B20)-FIND("/", B20)))</f>
        <v>0</v>
      </c>
    </row>
    <row r="21" spans="1:9">
      <c r="A21" s="5" t="s">
        <v>25</v>
      </c>
      <c r="B21" s="6">
        <f>"1/1"</f>
        <v>0</v>
      </c>
      <c r="C21" s="8"/>
      <c r="D21" s="9">
        <f>((C21)*(H21)*(I21))/(G21*1)</f>
        <v>0</v>
      </c>
      <c r="E21" s="9">
        <f>D21/10000</f>
        <v>0</v>
      </c>
      <c r="G21" s="10">
        <f>digestion_page!B24</f>
        <v>0</v>
      </c>
      <c r="H21" s="10">
        <f>digestion_page!C24</f>
        <v>0</v>
      </c>
      <c r="I21" s="10">
        <f>(LEFT(B21,FIND("/",B21)-1)/RIGHT(B21,LEN(B21)-FIND("/", B21)))</f>
        <v>0</v>
      </c>
    </row>
    <row r="22" spans="1:9">
      <c r="A22" s="5" t="s">
        <v>26</v>
      </c>
      <c r="B22" s="6">
        <f>"1/1"</f>
        <v>0</v>
      </c>
      <c r="C22" s="8"/>
      <c r="D22" s="9">
        <f>((C22)*(H22)*(I22))/(G22*1)</f>
        <v>0</v>
      </c>
      <c r="E22" s="9">
        <f>D22/10000</f>
        <v>0</v>
      </c>
      <c r="G22" s="10">
        <f>digestion_page!B25</f>
        <v>0</v>
      </c>
      <c r="H22" s="10">
        <f>digestion_page!C25</f>
        <v>0</v>
      </c>
      <c r="I22" s="10">
        <f>(LEFT(B22,FIND("/",B22)-1)/RIGHT(B22,LEN(B22)-FIND("/", B22)))</f>
        <v>0</v>
      </c>
    </row>
    <row r="23" spans="1:9">
      <c r="A23" s="5" t="s">
        <v>27</v>
      </c>
      <c r="B23" s="6">
        <f>"1/1"</f>
        <v>0</v>
      </c>
      <c r="C23" s="8"/>
      <c r="D23" s="9">
        <f>((C23)*(H23)*(I23))/(G23*1)</f>
        <v>0</v>
      </c>
      <c r="E23" s="9">
        <f>D23/10000</f>
        <v>0</v>
      </c>
      <c r="G23" s="10">
        <f>digestion_page!B26</f>
        <v>0</v>
      </c>
      <c r="H23" s="10">
        <f>digestion_page!C26</f>
        <v>0</v>
      </c>
      <c r="I23" s="10">
        <f>(LEFT(B23,FIND("/",B23)-1)/RIGHT(B23,LEN(B23)-FIND("/", B23)))</f>
        <v>0</v>
      </c>
    </row>
    <row r="24" spans="1:9">
      <c r="A24" s="5" t="s">
        <v>28</v>
      </c>
      <c r="B24" s="6">
        <f>"1/1"</f>
        <v>0</v>
      </c>
      <c r="C24" s="8"/>
      <c r="D24" s="9">
        <f>((C24)*(H24)*(I24))/(G24*1)</f>
        <v>0</v>
      </c>
      <c r="E24" s="9">
        <f>D24/10000</f>
        <v>0</v>
      </c>
      <c r="G24" s="10">
        <f>digestion_page!B27</f>
        <v>0</v>
      </c>
      <c r="H24" s="10">
        <f>digestion_page!C27</f>
        <v>0</v>
      </c>
      <c r="I24" s="10">
        <f>(LEFT(B24,FIND("/",B24)-1)/RIGHT(B24,LEN(B24)-FIND("/", B24)))</f>
        <v>0</v>
      </c>
    </row>
    <row r="25" spans="1:9">
      <c r="A25" s="5" t="s">
        <v>29</v>
      </c>
      <c r="B25" s="6">
        <f>"1/1"</f>
        <v>0</v>
      </c>
      <c r="C25" s="8"/>
      <c r="D25" s="9">
        <f>((C25)*(H25)*(I25))/(G25*1)</f>
        <v>0</v>
      </c>
      <c r="E25" s="9">
        <f>D25/10000</f>
        <v>0</v>
      </c>
      <c r="G25" s="10">
        <f>digestion_page!B28</f>
        <v>0</v>
      </c>
      <c r="H25" s="10">
        <f>digestion_page!C28</f>
        <v>0</v>
      </c>
      <c r="I25" s="10">
        <f>(LEFT(B25,FIND("/",B25)-1)/RIGHT(B25,LEN(B25)-FIND("/", B25)))</f>
        <v>0</v>
      </c>
    </row>
    <row r="26" spans="1:9">
      <c r="A26" s="5" t="s">
        <v>30</v>
      </c>
      <c r="B26" s="6">
        <f>"1/1"</f>
        <v>0</v>
      </c>
      <c r="C26" s="8"/>
      <c r="D26" s="9">
        <f>((C26)*(H26)*(I26))/(G26*1)</f>
        <v>0</v>
      </c>
      <c r="E26" s="9">
        <f>D26/10000</f>
        <v>0</v>
      </c>
      <c r="G26" s="10">
        <f>digestion_page!B29</f>
        <v>0</v>
      </c>
      <c r="H26" s="10">
        <f>digestion_page!C29</f>
        <v>0</v>
      </c>
      <c r="I26" s="10">
        <f>(LEFT(B26,FIND("/",B26)-1)/RIGHT(B26,LEN(B26)-FIND("/", B26)))</f>
        <v>0</v>
      </c>
    </row>
    <row r="27" spans="1:9">
      <c r="A27" s="5" t="s">
        <v>31</v>
      </c>
      <c r="B27" s="6">
        <f>"1/1"</f>
        <v>0</v>
      </c>
      <c r="C27" s="8"/>
      <c r="D27" s="9">
        <f>((C27)*(H27)*(I27))/(G27*1)</f>
        <v>0</v>
      </c>
      <c r="E27" s="9">
        <f>D27/10000</f>
        <v>0</v>
      </c>
      <c r="G27" s="10">
        <f>digestion_page!B30</f>
        <v>0</v>
      </c>
      <c r="H27" s="10">
        <f>digestion_page!C30</f>
        <v>0</v>
      </c>
      <c r="I27" s="10">
        <f>(LEFT(B27,FIND("/",B27)-1)/RIGHT(B27,LEN(B27)-FIND("/", B27)))</f>
        <v>0</v>
      </c>
    </row>
    <row r="28" spans="1:9">
      <c r="A28" s="5" t="s">
        <v>32</v>
      </c>
      <c r="B28" s="6">
        <f>"1/1"</f>
        <v>0</v>
      </c>
      <c r="C28" s="8"/>
      <c r="D28" s="9">
        <f>((C28)*(H28)*(I28))/(G28*1)</f>
        <v>0</v>
      </c>
      <c r="E28" s="9">
        <f>D28/10000</f>
        <v>0</v>
      </c>
      <c r="G28" s="10">
        <f>digestion_page!B31</f>
        <v>0</v>
      </c>
      <c r="H28" s="10">
        <f>digestion_page!C31</f>
        <v>0</v>
      </c>
      <c r="I28" s="10">
        <f>(LEFT(B28,FIND("/",B28)-1)/RIGHT(B28,LEN(B28)-FIND("/", B28)))</f>
        <v>0</v>
      </c>
    </row>
    <row r="29" spans="1:9">
      <c r="A29" s="5" t="s">
        <v>33</v>
      </c>
      <c r="B29" s="6">
        <f>"1/1"</f>
        <v>0</v>
      </c>
      <c r="C29" s="8"/>
      <c r="D29" s="9">
        <f>((C29)*(H29)*(I29))/(G29*1)</f>
        <v>0</v>
      </c>
      <c r="E29" s="9">
        <f>D29/10000</f>
        <v>0</v>
      </c>
      <c r="G29" s="10">
        <f>digestion_page!B32</f>
        <v>0</v>
      </c>
      <c r="H29" s="10">
        <f>digestion_page!C32</f>
        <v>0</v>
      </c>
      <c r="I29" s="10">
        <f>(LEFT(B29,FIND("/",B29)-1)/RIGHT(B29,LEN(B29)-FIND("/", B29)))</f>
        <v>0</v>
      </c>
    </row>
    <row r="30" spans="1:9">
      <c r="A30" s="5" t="s">
        <v>34</v>
      </c>
      <c r="B30" s="6">
        <f>"1/1"</f>
        <v>0</v>
      </c>
      <c r="C30" s="8"/>
      <c r="D30" s="9">
        <f>((C30)*(H30)*(I30))/(G30*1)</f>
        <v>0</v>
      </c>
      <c r="E30" s="9">
        <f>D30/10000</f>
        <v>0</v>
      </c>
      <c r="G30" s="10">
        <f>digestion_page!B33</f>
        <v>0</v>
      </c>
      <c r="H30" s="10">
        <f>digestion_page!C33</f>
        <v>0</v>
      </c>
      <c r="I30" s="10">
        <f>(LEFT(B30,FIND("/",B30)-1)/RIGHT(B30,LEN(B30)-FIND("/", B30)))</f>
        <v>0</v>
      </c>
    </row>
    <row r="31" spans="1:9">
      <c r="A31" s="5" t="s">
        <v>35</v>
      </c>
      <c r="B31" s="6">
        <f>"1/1"</f>
        <v>0</v>
      </c>
      <c r="C31" s="8"/>
      <c r="D31" s="9">
        <f>((C31)*(H31)*(I31))/(G31*1)</f>
        <v>0</v>
      </c>
      <c r="E31" s="9">
        <f>D31/10000</f>
        <v>0</v>
      </c>
      <c r="G31" s="10">
        <f>digestion_page!B34</f>
        <v>0</v>
      </c>
      <c r="H31" s="10">
        <f>digestion_page!C34</f>
        <v>0</v>
      </c>
      <c r="I31" s="10">
        <f>(LEFT(B31,FIND("/",B31)-1)/RIGHT(B31,LEN(B31)-FIND("/", B31)))</f>
        <v>0</v>
      </c>
    </row>
    <row r="32" spans="1:9">
      <c r="A32" s="5" t="s">
        <v>36</v>
      </c>
      <c r="B32" s="6">
        <f>"1/1"</f>
        <v>0</v>
      </c>
      <c r="C32" s="8"/>
      <c r="D32" s="9">
        <f>((C32)*(H32)*(I32))/(G32*1)</f>
        <v>0</v>
      </c>
      <c r="E32" s="9">
        <f>D32/10000</f>
        <v>0</v>
      </c>
      <c r="G32" s="10">
        <f>digestion_page!B35</f>
        <v>0</v>
      </c>
      <c r="H32" s="10">
        <f>digestion_page!C35</f>
        <v>0</v>
      </c>
      <c r="I32" s="10">
        <f>(LEFT(B32,FIND("/",B32)-1)/RIGHT(B32,LEN(B32)-FIND("/", B32)))</f>
        <v>0</v>
      </c>
    </row>
    <row r="33" spans="1:9">
      <c r="A33" s="5" t="s">
        <v>37</v>
      </c>
      <c r="B33" s="6">
        <f>"1/1"</f>
        <v>0</v>
      </c>
      <c r="C33" s="8"/>
      <c r="D33" s="9">
        <f>((C33)*(H33)*(I33))/(G33*1)</f>
        <v>0</v>
      </c>
      <c r="E33" s="9">
        <f>D33/10000</f>
        <v>0</v>
      </c>
      <c r="G33" s="10">
        <f>digestion_page!B36</f>
        <v>0</v>
      </c>
      <c r="H33" s="10">
        <f>digestion_page!C36</f>
        <v>0</v>
      </c>
      <c r="I33" s="10">
        <f>(LEFT(B33,FIND("/",B33)-1)/RIGHT(B33,LEN(B33)-FIND("/", B33)))</f>
        <v>0</v>
      </c>
    </row>
    <row r="34" spans="1:9">
      <c r="A34" s="5" t="s">
        <v>38</v>
      </c>
      <c r="B34" s="6">
        <f>"1/1"</f>
        <v>0</v>
      </c>
      <c r="C34" s="8"/>
      <c r="D34" s="9">
        <f>((C34)*(H34)*(I34))/(G34*1)</f>
        <v>0</v>
      </c>
      <c r="E34" s="9">
        <f>D34/10000</f>
        <v>0</v>
      </c>
      <c r="G34" s="10">
        <f>digestion_page!B37</f>
        <v>0</v>
      </c>
      <c r="H34" s="10">
        <f>digestion_page!C37</f>
        <v>0</v>
      </c>
      <c r="I34" s="10">
        <f>(LEFT(B34,FIND("/",B34)-1)/RIGHT(B34,LEN(B34)-FIND("/", B34)))</f>
        <v>0</v>
      </c>
    </row>
    <row r="35" spans="1:9">
      <c r="A35" s="5" t="s">
        <v>39</v>
      </c>
      <c r="B35" s="6">
        <f>"1/1"</f>
        <v>0</v>
      </c>
      <c r="C35" s="8"/>
      <c r="D35" s="9">
        <f>((C35)*(H35)*(I35))/(G35*1)</f>
        <v>0</v>
      </c>
      <c r="E35" s="9">
        <f>D35/10000</f>
        <v>0</v>
      </c>
      <c r="G35" s="10">
        <f>digestion_page!B38</f>
        <v>0</v>
      </c>
      <c r="H35" s="10">
        <f>digestion_page!C38</f>
        <v>0</v>
      </c>
      <c r="I35" s="10">
        <f>(LEFT(B35,FIND("/",B35)-1)/RIGHT(B35,LEN(B35)-FIND("/", B35)))</f>
        <v>0</v>
      </c>
    </row>
    <row r="36" spans="1:9">
      <c r="A36" s="5" t="s">
        <v>40</v>
      </c>
      <c r="B36" s="6">
        <f>"1/1"</f>
        <v>0</v>
      </c>
      <c r="C36" s="8"/>
      <c r="D36" s="9">
        <f>((C36)*(H36)*(I36))/(G36*1)</f>
        <v>0</v>
      </c>
      <c r="E36" s="9">
        <f>D36/10000</f>
        <v>0</v>
      </c>
      <c r="G36" s="10">
        <f>digestion_page!B39</f>
        <v>0</v>
      </c>
      <c r="H36" s="10">
        <f>digestion_page!C39</f>
        <v>0</v>
      </c>
      <c r="I36" s="10">
        <f>(LEFT(B36,FIND("/",B36)-1)/RIGHT(B36,LEN(B36)-FIND("/", B36)))</f>
        <v>0</v>
      </c>
    </row>
    <row r="37" spans="1:9">
      <c r="A37" s="5" t="s">
        <v>41</v>
      </c>
      <c r="B37" s="6">
        <f>"1/1"</f>
        <v>0</v>
      </c>
      <c r="C37" s="8"/>
      <c r="D37" s="9">
        <f>((C37)*(H37)*(I37))/(G37*1)</f>
        <v>0</v>
      </c>
      <c r="E37" s="9">
        <f>D37/10000</f>
        <v>0</v>
      </c>
      <c r="G37" s="10">
        <f>digestion_page!B40</f>
        <v>0</v>
      </c>
      <c r="H37" s="10">
        <f>digestion_page!C40</f>
        <v>0</v>
      </c>
      <c r="I37" s="10">
        <f>(LEFT(B37,FIND("/",B37)-1)/RIGHT(B37,LEN(B37)-FIND("/", B37)))</f>
        <v>0</v>
      </c>
    </row>
    <row r="38" spans="1:9">
      <c r="A38" s="5" t="s">
        <v>42</v>
      </c>
      <c r="B38" s="6">
        <f>"1/1"</f>
        <v>0</v>
      </c>
      <c r="C38" s="8"/>
      <c r="D38" s="9">
        <f>((C38)*(H38)*(I38))/(G38*1)</f>
        <v>0</v>
      </c>
      <c r="E38" s="9">
        <f>D38/10000</f>
        <v>0</v>
      </c>
      <c r="G38" s="10">
        <f>digestion_page!B41</f>
        <v>0</v>
      </c>
      <c r="H38" s="10">
        <f>digestion_page!C41</f>
        <v>0</v>
      </c>
      <c r="I38" s="10">
        <f>(LEFT(B38,FIND("/",B38)-1)/RIGHT(B38,LEN(B38)-FIND("/", B38)))</f>
        <v>0</v>
      </c>
    </row>
    <row r="39" spans="1:9">
      <c r="A39" s="5" t="s">
        <v>43</v>
      </c>
      <c r="B39" s="6">
        <f>"1/1"</f>
        <v>0</v>
      </c>
      <c r="C39" s="8"/>
      <c r="D39" s="9">
        <f>((C39)*(H39)*(I39))/(G39*1)</f>
        <v>0</v>
      </c>
      <c r="E39" s="9">
        <f>D39/10000</f>
        <v>0</v>
      </c>
      <c r="G39" s="10">
        <f>digestion_page!B42</f>
        <v>0</v>
      </c>
      <c r="H39" s="10">
        <f>digestion_page!C42</f>
        <v>0</v>
      </c>
      <c r="I39" s="10">
        <f>(LEFT(B39,FIND("/",B39)-1)/RIGHT(B39,LEN(B39)-FIND("/", B39)))</f>
        <v>0</v>
      </c>
    </row>
    <row r="40" spans="1:9">
      <c r="A40" s="5" t="s">
        <v>44</v>
      </c>
      <c r="B40" s="6">
        <f>"1/1"</f>
        <v>0</v>
      </c>
      <c r="C40" s="8"/>
      <c r="D40" s="9">
        <f>((C40)*(H40)*(I40))/(G40*1)</f>
        <v>0</v>
      </c>
      <c r="E40" s="9">
        <f>D40/10000</f>
        <v>0</v>
      </c>
      <c r="G40" s="10">
        <f>digestion_page!B43</f>
        <v>0</v>
      </c>
      <c r="H40" s="10">
        <f>digestion_page!C43</f>
        <v>0</v>
      </c>
      <c r="I40" s="10">
        <f>(LEFT(B40,FIND("/",B40)-1)/RIGHT(B40,LEN(B40)-FIND("/", B40)))</f>
        <v>0</v>
      </c>
    </row>
    <row r="41" spans="1:9">
      <c r="A41" s="5" t="s">
        <v>45</v>
      </c>
      <c r="B41" s="6">
        <f>"1/1"</f>
        <v>0</v>
      </c>
      <c r="C41" s="8"/>
      <c r="D41" s="9">
        <f>((C41)*(H41)*(I41))/(G41*1)</f>
        <v>0</v>
      </c>
      <c r="E41" s="9">
        <f>D41/10000</f>
        <v>0</v>
      </c>
      <c r="G41" s="10">
        <f>digestion_page!B44</f>
        <v>0</v>
      </c>
      <c r="H41" s="10">
        <f>digestion_page!C44</f>
        <v>0</v>
      </c>
      <c r="I41" s="10">
        <f>(LEFT(B41,FIND("/",B41)-1)/RIGHT(B41,LEN(B41)-FIND("/", B41)))</f>
        <v>0</v>
      </c>
    </row>
    <row r="42" spans="1:9">
      <c r="A42" s="5" t="s">
        <v>46</v>
      </c>
      <c r="B42" s="6">
        <f>"1/1"</f>
        <v>0</v>
      </c>
      <c r="C42" s="8"/>
      <c r="D42" s="9">
        <f>((C42)*(H42)*(I42))/(G42*1)</f>
        <v>0</v>
      </c>
      <c r="E42" s="9">
        <f>D42/10000</f>
        <v>0</v>
      </c>
      <c r="G42" s="10">
        <f>digestion_page!B45</f>
        <v>0</v>
      </c>
      <c r="H42" s="10">
        <f>digestion_page!C45</f>
        <v>0</v>
      </c>
      <c r="I42" s="10">
        <f>(LEFT(B42,FIND("/",B42)-1)/RIGHT(B42,LEN(B42)-FIND("/", B42)))</f>
        <v>0</v>
      </c>
    </row>
    <row r="43" spans="1:9">
      <c r="A43" s="5" t="s">
        <v>47</v>
      </c>
      <c r="B43" s="6">
        <f>"1/1"</f>
        <v>0</v>
      </c>
      <c r="C43" s="8"/>
      <c r="D43" s="9">
        <f>((C43)*(H43)*(I43))/(G43*1)</f>
        <v>0</v>
      </c>
      <c r="E43" s="9">
        <f>D43/10000</f>
        <v>0</v>
      </c>
      <c r="G43" s="10">
        <f>digestion_page!B46</f>
        <v>0</v>
      </c>
      <c r="H43" s="10">
        <f>digestion_page!C46</f>
        <v>0</v>
      </c>
      <c r="I43" s="10">
        <f>(LEFT(B43,FIND("/",B43)-1)/RIGHT(B43,LEN(B43)-FIND("/", B43)))</f>
        <v>0</v>
      </c>
    </row>
    <row r="44" spans="1:9">
      <c r="A44" s="5" t="s">
        <v>48</v>
      </c>
      <c r="B44" s="6">
        <f>"1/1"</f>
        <v>0</v>
      </c>
      <c r="C44" s="8"/>
      <c r="D44" s="9">
        <f>((C44)*(H44)*(I44))/(G44*1)</f>
        <v>0</v>
      </c>
      <c r="E44" s="9">
        <f>D44/10000</f>
        <v>0</v>
      </c>
      <c r="G44" s="10">
        <f>digestion_page!B47</f>
        <v>0</v>
      </c>
      <c r="H44" s="10">
        <f>digestion_page!C47</f>
        <v>0</v>
      </c>
      <c r="I44" s="10">
        <f>(LEFT(B44,FIND("/",B44)-1)/RIGHT(B44,LEN(B44)-FIND("/", B44)))</f>
        <v>0</v>
      </c>
    </row>
    <row r="45" spans="1:9">
      <c r="A45" s="5" t="s">
        <v>49</v>
      </c>
      <c r="B45" s="6">
        <f>"1/1"</f>
        <v>0</v>
      </c>
      <c r="C45" s="8"/>
      <c r="D45" s="9">
        <f>((C45)*(H45)*(I45))/(G45*1)</f>
        <v>0</v>
      </c>
      <c r="E45" s="9">
        <f>D45/10000</f>
        <v>0</v>
      </c>
      <c r="G45" s="10">
        <f>digestion_page!B48</f>
        <v>0</v>
      </c>
      <c r="H45" s="10">
        <f>digestion_page!C48</f>
        <v>0</v>
      </c>
      <c r="I45" s="10">
        <f>(LEFT(B45,FIND("/",B45)-1)/RIGHT(B45,LEN(B45)-FIND("/", B45)))</f>
        <v>0</v>
      </c>
    </row>
    <row r="46" spans="1:9">
      <c r="A46" s="5" t="s">
        <v>50</v>
      </c>
      <c r="B46" s="6">
        <f>"1/1"</f>
        <v>0</v>
      </c>
      <c r="C46" s="8"/>
      <c r="D46" s="9">
        <f>((C46)*(H46)*(I46))/(G46*1)</f>
        <v>0</v>
      </c>
      <c r="E46" s="9">
        <f>D46/10000</f>
        <v>0</v>
      </c>
      <c r="G46" s="10">
        <f>digestion_page!B49</f>
        <v>0</v>
      </c>
      <c r="H46" s="10">
        <f>digestion_page!C49</f>
        <v>0</v>
      </c>
      <c r="I46" s="10">
        <f>(LEFT(B46,FIND("/",B46)-1)/RIGHT(B46,LEN(B46)-FIND("/", B46)))</f>
        <v>0</v>
      </c>
    </row>
    <row r="47" spans="1:9">
      <c r="A47" s="5" t="s">
        <v>51</v>
      </c>
      <c r="B47" s="6">
        <f>"1/1"</f>
        <v>0</v>
      </c>
      <c r="C47" s="8"/>
      <c r="D47" s="9">
        <f>((C47)*(H47)*(I47))/(G47*1)</f>
        <v>0</v>
      </c>
      <c r="E47" s="9">
        <f>D47/10000</f>
        <v>0</v>
      </c>
      <c r="G47" s="10">
        <f>digestion_page!B50</f>
        <v>0</v>
      </c>
      <c r="H47" s="10">
        <f>digestion_page!C50</f>
        <v>0</v>
      </c>
      <c r="I47" s="10">
        <f>(LEFT(B47,FIND("/",B47)-1)/RIGHT(B47,LEN(B47)-FIND("/", B47)))</f>
        <v>0</v>
      </c>
    </row>
    <row r="48" spans="1:9">
      <c r="A48" s="5" t="s">
        <v>52</v>
      </c>
      <c r="B48" s="6">
        <f>"1/1"</f>
        <v>0</v>
      </c>
      <c r="C48" s="8"/>
      <c r="D48" s="9">
        <f>((C48)*(H48)*(I48))/(G48*1)</f>
        <v>0</v>
      </c>
      <c r="E48" s="9">
        <f>D48/10000</f>
        <v>0</v>
      </c>
      <c r="G48" s="10">
        <f>digestion_page!B51</f>
        <v>0</v>
      </c>
      <c r="H48" s="10">
        <f>digestion_page!C51</f>
        <v>0</v>
      </c>
      <c r="I48" s="10">
        <f>(LEFT(B48,FIND("/",B48)-1)/RIGHT(B48,LEN(B48)-FIND("/", B48)))</f>
        <v>0</v>
      </c>
    </row>
    <row r="49" spans="1:9">
      <c r="A49" s="5" t="s">
        <v>53</v>
      </c>
      <c r="B49" s="6">
        <f>"1/1"</f>
        <v>0</v>
      </c>
      <c r="C49" s="8"/>
      <c r="D49" s="9">
        <f>((C49)*(H49)*(I49))/(G49*1)</f>
        <v>0</v>
      </c>
      <c r="E49" s="9">
        <f>D49/10000</f>
        <v>0</v>
      </c>
      <c r="G49" s="10">
        <f>digestion_page!B52</f>
        <v>0</v>
      </c>
      <c r="H49" s="10">
        <f>digestion_page!C52</f>
        <v>0</v>
      </c>
      <c r="I49" s="10">
        <f>(LEFT(B49,FIND("/",B49)-1)/RIGHT(B49,LEN(B49)-FIND("/", B49)))</f>
        <v>0</v>
      </c>
    </row>
    <row r="50" spans="1:9">
      <c r="A50" s="5" t="s">
        <v>54</v>
      </c>
      <c r="B50" s="6">
        <f>"1/1"</f>
        <v>0</v>
      </c>
      <c r="C50" s="8"/>
      <c r="D50" s="9">
        <f>((C50)*(H50)*(I50))/(G50*1)</f>
        <v>0</v>
      </c>
      <c r="E50" s="9">
        <f>D50/10000</f>
        <v>0</v>
      </c>
      <c r="G50" s="10">
        <f>digestion_page!B53</f>
        <v>0</v>
      </c>
      <c r="H50" s="10">
        <f>digestion_page!C53</f>
        <v>0</v>
      </c>
      <c r="I50" s="10">
        <f>(LEFT(B50,FIND("/",B50)-1)/RIGHT(B50,LEN(B50)-FIND("/", B50)))</f>
        <v>0</v>
      </c>
    </row>
    <row r="51" spans="1:9">
      <c r="A51" s="5" t="s">
        <v>55</v>
      </c>
      <c r="B51" s="6">
        <f>"1/1"</f>
        <v>0</v>
      </c>
      <c r="C51" s="8"/>
      <c r="D51" s="9">
        <f>((C51)*(H51)*(I51))/(G51*1)</f>
        <v>0</v>
      </c>
      <c r="E51" s="9">
        <f>D51/10000</f>
        <v>0</v>
      </c>
      <c r="G51" s="10">
        <f>digestion_page!B54</f>
        <v>0</v>
      </c>
      <c r="H51" s="10">
        <f>digestion_page!C54</f>
        <v>0</v>
      </c>
      <c r="I51" s="10">
        <f>(LEFT(B51,FIND("/",B51)-1)/RIGHT(B51,LEN(B51)-FIND("/", B51)))</f>
        <v>0</v>
      </c>
    </row>
    <row r="52" spans="1:9">
      <c r="A52" s="5" t="s">
        <v>56</v>
      </c>
      <c r="B52" s="6">
        <f>"1/1"</f>
        <v>0</v>
      </c>
      <c r="C52" s="8"/>
      <c r="D52" s="9">
        <f>((C52)*(H52)*(I52))/(G52*1)</f>
        <v>0</v>
      </c>
      <c r="E52" s="9">
        <f>D52/10000</f>
        <v>0</v>
      </c>
      <c r="G52" s="10">
        <f>digestion_page!B55</f>
        <v>0</v>
      </c>
      <c r="H52" s="10">
        <f>digestion_page!C55</f>
        <v>0</v>
      </c>
      <c r="I52" s="10">
        <f>(LEFT(B52,FIND("/",B52)-1)/RIGHT(B52,LEN(B52)-FIND("/", B52)))</f>
        <v>0</v>
      </c>
    </row>
    <row r="53" spans="1:9">
      <c r="A53" s="5" t="s">
        <v>57</v>
      </c>
      <c r="B53" s="6">
        <f>"1/1"</f>
        <v>0</v>
      </c>
      <c r="C53" s="8"/>
      <c r="D53" s="9">
        <f>((C53)*(H53)*(I53))/(G53*1)</f>
        <v>0</v>
      </c>
      <c r="E53" s="9">
        <f>D53/10000</f>
        <v>0</v>
      </c>
      <c r="G53" s="10">
        <f>digestion_page!B56</f>
        <v>0</v>
      </c>
      <c r="H53" s="10">
        <f>digestion_page!C56</f>
        <v>0</v>
      </c>
      <c r="I53" s="10">
        <f>(LEFT(B53,FIND("/",B53)-1)/RIGHT(B53,LEN(B53)-FIND("/", B53)))</f>
        <v>0</v>
      </c>
    </row>
    <row r="54" spans="1:9">
      <c r="A54" s="5" t="s">
        <v>58</v>
      </c>
      <c r="B54" s="6">
        <f>"1/1"</f>
        <v>0</v>
      </c>
      <c r="C54" s="8"/>
      <c r="D54" s="9">
        <f>((C54)*(H54)*(I54))/(G54*1)</f>
        <v>0</v>
      </c>
      <c r="E54" s="9">
        <f>D54/10000</f>
        <v>0</v>
      </c>
      <c r="G54" s="10">
        <f>digestion_page!B57</f>
        <v>0</v>
      </c>
      <c r="H54" s="10">
        <f>digestion_page!C57</f>
        <v>0</v>
      </c>
      <c r="I54" s="10">
        <f>(LEFT(B54,FIND("/",B54)-1)/RIGHT(B54,LEN(B54)-FIND("/", B54)))</f>
        <v>0</v>
      </c>
    </row>
    <row r="55" spans="1:9">
      <c r="A55" s="5" t="s">
        <v>59</v>
      </c>
      <c r="B55" s="6">
        <f>"1/1"</f>
        <v>0</v>
      </c>
      <c r="C55" s="8"/>
      <c r="D55" s="9">
        <f>((C55)*(H55)*(I55))/(G55*1)</f>
        <v>0</v>
      </c>
      <c r="E55" s="9">
        <f>D55/10000</f>
        <v>0</v>
      </c>
      <c r="G55" s="10">
        <f>digestion_page!B58</f>
        <v>0</v>
      </c>
      <c r="H55" s="10">
        <f>digestion_page!C58</f>
        <v>0</v>
      </c>
      <c r="I55" s="10">
        <f>(LEFT(B55,FIND("/",B55)-1)/RIGHT(B55,LEN(B55)-FIND("/", B55)))</f>
        <v>0</v>
      </c>
    </row>
    <row r="56" spans="1:9">
      <c r="A56" s="5" t="s">
        <v>60</v>
      </c>
      <c r="B56" s="6">
        <f>"1/1"</f>
        <v>0</v>
      </c>
      <c r="C56" s="8"/>
      <c r="D56" s="9">
        <f>((C56)*(H56)*(I56))/(G56*1)</f>
        <v>0</v>
      </c>
      <c r="E56" s="9">
        <f>D56/10000</f>
        <v>0</v>
      </c>
      <c r="G56" s="10">
        <f>digestion_page!B59</f>
        <v>0</v>
      </c>
      <c r="H56" s="10">
        <f>digestion_page!C59</f>
        <v>0</v>
      </c>
      <c r="I56" s="10">
        <f>(LEFT(B56,FIND("/",B56)-1)/RIGHT(B56,LEN(B56)-FIND("/", B56)))</f>
        <v>0</v>
      </c>
    </row>
    <row r="57" spans="1:9">
      <c r="A57" s="5" t="s">
        <v>61</v>
      </c>
      <c r="B57" s="6">
        <f>"1/1"</f>
        <v>0</v>
      </c>
      <c r="C57" s="8"/>
      <c r="D57" s="9">
        <f>((C57)*(H57)*(I57))/(G57*1)</f>
        <v>0</v>
      </c>
      <c r="E57" s="9">
        <f>D57/10000</f>
        <v>0</v>
      </c>
      <c r="G57" s="10">
        <f>digestion_page!B60</f>
        <v>0</v>
      </c>
      <c r="H57" s="10">
        <f>digestion_page!C60</f>
        <v>0</v>
      </c>
      <c r="I57" s="10">
        <f>(LEFT(B57,FIND("/",B57)-1)/RIGHT(B57,LEN(B57)-FIND("/", B57)))</f>
        <v>0</v>
      </c>
    </row>
    <row r="58" spans="1:9">
      <c r="A58" s="5" t="s">
        <v>62</v>
      </c>
      <c r="B58" s="6">
        <f>"1/1"</f>
        <v>0</v>
      </c>
      <c r="C58" s="8"/>
      <c r="D58" s="9">
        <f>((C58)*(H58)*(I58))/(G58*1)</f>
        <v>0</v>
      </c>
      <c r="E58" s="9">
        <f>D58/10000</f>
        <v>0</v>
      </c>
      <c r="G58" s="10">
        <f>digestion_page!B61</f>
        <v>0</v>
      </c>
      <c r="H58" s="10">
        <f>digestion_page!C61</f>
        <v>0</v>
      </c>
      <c r="I58" s="10">
        <f>(LEFT(B58,FIND("/",B58)-1)/RIGHT(B58,LEN(B58)-FIND("/", B58)))</f>
        <v>0</v>
      </c>
    </row>
    <row r="59" spans="1:9">
      <c r="A59" s="5" t="s">
        <v>63</v>
      </c>
      <c r="B59" s="6">
        <f>"1/1"</f>
        <v>0</v>
      </c>
      <c r="C59" s="8"/>
      <c r="D59" s="9">
        <f>((C59)*(H59)*(I59))/(G59*1)</f>
        <v>0</v>
      </c>
      <c r="E59" s="9">
        <f>D59/10000</f>
        <v>0</v>
      </c>
      <c r="G59" s="10">
        <f>digestion_page!B62</f>
        <v>0</v>
      </c>
      <c r="H59" s="10">
        <f>digestion_page!C62</f>
        <v>0</v>
      </c>
      <c r="I59" s="10">
        <f>(LEFT(B59,FIND("/",B59)-1)/RIGHT(B59,LEN(B59)-FIND("/", B59)))</f>
        <v>0</v>
      </c>
    </row>
    <row r="60" spans="1:9">
      <c r="A60" s="5" t="s">
        <v>64</v>
      </c>
      <c r="B60" s="6">
        <f>"1/1"</f>
        <v>0</v>
      </c>
      <c r="C60" s="8"/>
      <c r="D60" s="9">
        <f>((C60)*(H60)*(I60))/(G60*1)</f>
        <v>0</v>
      </c>
      <c r="E60" s="9">
        <f>D60/10000</f>
        <v>0</v>
      </c>
      <c r="G60" s="10">
        <f>digestion_page!B63</f>
        <v>0</v>
      </c>
      <c r="H60" s="10">
        <f>digestion_page!C63</f>
        <v>0</v>
      </c>
      <c r="I60" s="10">
        <f>(LEFT(B60,FIND("/",B60)-1)/RIGHT(B60,LEN(B60)-FIND("/", B60)))</f>
        <v>0</v>
      </c>
    </row>
    <row r="61" spans="1:9">
      <c r="A61" s="5" t="s">
        <v>65</v>
      </c>
      <c r="B61" s="6">
        <f>"1/1"</f>
        <v>0</v>
      </c>
      <c r="C61" s="8"/>
      <c r="D61" s="9">
        <f>((C61)*(H61)*(I61))/(G61*1)</f>
        <v>0</v>
      </c>
      <c r="E61" s="9">
        <f>D61/10000</f>
        <v>0</v>
      </c>
      <c r="G61" s="10">
        <f>digestion_page!B64</f>
        <v>0</v>
      </c>
      <c r="H61" s="10">
        <f>digestion_page!C64</f>
        <v>0</v>
      </c>
      <c r="I61" s="10">
        <f>(LEFT(B61,FIND("/",B61)-1)/RIGHT(B61,LEN(B61)-FIND("/", B61)))</f>
        <v>0</v>
      </c>
    </row>
    <row r="62" spans="1:9">
      <c r="A62" s="5" t="s">
        <v>66</v>
      </c>
      <c r="B62" s="6">
        <f>"1/1"</f>
        <v>0</v>
      </c>
      <c r="C62" s="8"/>
      <c r="D62" s="9">
        <f>((C62)*(H62)*(I62))/(G62*1)</f>
        <v>0</v>
      </c>
      <c r="E62" s="9">
        <f>D62/10000</f>
        <v>0</v>
      </c>
      <c r="G62" s="10">
        <f>digestion_page!B65</f>
        <v>0</v>
      </c>
      <c r="H62" s="10">
        <f>digestion_page!C65</f>
        <v>0</v>
      </c>
      <c r="I62" s="10">
        <f>(LEFT(B62,FIND("/",B62)-1)/RIGHT(B62,LEN(B62)-FIND("/", B62)))</f>
        <v>0</v>
      </c>
    </row>
    <row r="63" spans="1:9">
      <c r="A63" s="5" t="s">
        <v>67</v>
      </c>
      <c r="B63" s="6">
        <f>"1/1"</f>
        <v>0</v>
      </c>
      <c r="C63" s="8"/>
      <c r="D63" s="9">
        <f>((C63)*(H63)*(I63))/(G63*1)</f>
        <v>0</v>
      </c>
      <c r="E63" s="9">
        <f>D63/10000</f>
        <v>0</v>
      </c>
      <c r="G63" s="10">
        <f>digestion_page!B66</f>
        <v>0</v>
      </c>
      <c r="H63" s="10">
        <f>digestion_page!C66</f>
        <v>0</v>
      </c>
      <c r="I63" s="10">
        <f>(LEFT(B63,FIND("/",B63)-1)/RIGHT(B63,LEN(B63)-FIND("/", B63)))</f>
        <v>0</v>
      </c>
    </row>
    <row r="64" spans="1:9">
      <c r="A64" s="5" t="s">
        <v>68</v>
      </c>
      <c r="B64" s="6">
        <f>"1/1"</f>
        <v>0</v>
      </c>
      <c r="C64" s="8"/>
      <c r="D64" s="9">
        <f>((C64)*(H64)*(I64))/(G64*1)</f>
        <v>0</v>
      </c>
      <c r="E64" s="9">
        <f>D64/10000</f>
        <v>0</v>
      </c>
      <c r="G64" s="10">
        <f>digestion_page!B67</f>
        <v>0</v>
      </c>
      <c r="H64" s="10">
        <f>digestion_page!C67</f>
        <v>0</v>
      </c>
      <c r="I64" s="10">
        <f>(LEFT(B64,FIND("/",B64)-1)/RIGHT(B64,LEN(B64)-FIND("/", B64)))</f>
        <v>0</v>
      </c>
    </row>
    <row r="65" spans="1:9">
      <c r="A65" s="5" t="s">
        <v>69</v>
      </c>
      <c r="B65" s="6">
        <f>"1/1"</f>
        <v>0</v>
      </c>
      <c r="C65" s="8"/>
      <c r="D65" s="9">
        <f>((C65)*(H65)*(I65))/(G65*1)</f>
        <v>0</v>
      </c>
      <c r="E65" s="9">
        <f>D65/10000</f>
        <v>0</v>
      </c>
      <c r="G65" s="10">
        <f>digestion_page!B68</f>
        <v>0</v>
      </c>
      <c r="H65" s="10">
        <f>digestion_page!C68</f>
        <v>0</v>
      </c>
      <c r="I65" s="10">
        <f>(LEFT(B65,FIND("/",B65)-1)/RIGHT(B65,LEN(B65)-FIND("/", B65)))</f>
        <v>0</v>
      </c>
    </row>
    <row r="66" spans="1:9">
      <c r="A66" s="5" t="s">
        <v>70</v>
      </c>
      <c r="B66" s="6">
        <f>"1/1"</f>
        <v>0</v>
      </c>
      <c r="C66" s="8"/>
      <c r="D66" s="9">
        <f>((C66)*(H66)*(I66))/(G66*1)</f>
        <v>0</v>
      </c>
      <c r="E66" s="9">
        <f>D66/10000</f>
        <v>0</v>
      </c>
      <c r="G66" s="10">
        <f>digestion_page!B69</f>
        <v>0</v>
      </c>
      <c r="H66" s="10">
        <f>digestion_page!C69</f>
        <v>0</v>
      </c>
      <c r="I66" s="10">
        <f>(LEFT(B66,FIND("/",B66)-1)/RIGHT(B66,LEN(B66)-FIND("/", B66)))</f>
        <v>0</v>
      </c>
    </row>
    <row r="67" spans="1:9">
      <c r="A67" s="5" t="s">
        <v>71</v>
      </c>
      <c r="B67" s="6">
        <f>"1/1"</f>
        <v>0</v>
      </c>
      <c r="C67" s="8"/>
      <c r="D67" s="9">
        <f>((C67)*(H67)*(I67))/(G67*1)</f>
        <v>0</v>
      </c>
      <c r="E67" s="9">
        <f>D67/10000</f>
        <v>0</v>
      </c>
      <c r="G67" s="10">
        <f>digestion_page!B70</f>
        <v>0</v>
      </c>
      <c r="H67" s="10">
        <f>digestion_page!C70</f>
        <v>0</v>
      </c>
      <c r="I67" s="10">
        <f>(LEFT(B67,FIND("/",B67)-1)/RIGHT(B67,LEN(B67)-FIND("/", B67)))</f>
        <v>0</v>
      </c>
    </row>
    <row r="68" spans="1:9">
      <c r="A68" s="5" t="s">
        <v>72</v>
      </c>
      <c r="B68" s="6">
        <f>"1/1"</f>
        <v>0</v>
      </c>
      <c r="C68" s="8"/>
      <c r="D68" s="9">
        <f>((C68)*(H68)*(I68))/(G68*1)</f>
        <v>0</v>
      </c>
      <c r="E68" s="9">
        <f>D68/10000</f>
        <v>0</v>
      </c>
      <c r="G68" s="10">
        <f>digestion_page!B71</f>
        <v>0</v>
      </c>
      <c r="H68" s="10">
        <f>digestion_page!C71</f>
        <v>0</v>
      </c>
      <c r="I68" s="10">
        <f>(LEFT(B68,FIND("/",B68)-1)/RIGHT(B68,LEN(B68)-FIND("/", B68)))</f>
        <v>0</v>
      </c>
    </row>
    <row r="69" spans="1:9">
      <c r="A69" s="5" t="s">
        <v>73</v>
      </c>
      <c r="B69" s="6">
        <f>"1/1"</f>
        <v>0</v>
      </c>
      <c r="C69" s="8"/>
      <c r="D69" s="9">
        <f>((C69)*(H69)*(I69))/(G69*1)</f>
        <v>0</v>
      </c>
      <c r="E69" s="9">
        <f>D69/10000</f>
        <v>0</v>
      </c>
      <c r="G69" s="10">
        <f>digestion_page!B72</f>
        <v>0</v>
      </c>
      <c r="H69" s="10">
        <f>digestion_page!C72</f>
        <v>0</v>
      </c>
      <c r="I69" s="10">
        <f>(LEFT(B69,FIND("/",B69)-1)/RIGHT(B69,LEN(B69)-FIND("/", B69)))</f>
        <v>0</v>
      </c>
    </row>
    <row r="70" spans="1:9">
      <c r="A70" s="5" t="s">
        <v>74</v>
      </c>
      <c r="B70" s="6">
        <f>"1/1"</f>
        <v>0</v>
      </c>
      <c r="C70" s="8"/>
      <c r="D70" s="9">
        <f>((C70)*(H70)*(I70))/(G70*1)</f>
        <v>0</v>
      </c>
      <c r="E70" s="9">
        <f>D70/10000</f>
        <v>0</v>
      </c>
      <c r="G70" s="10">
        <f>digestion_page!B73</f>
        <v>0</v>
      </c>
      <c r="H70" s="10">
        <f>digestion_page!C73</f>
        <v>0</v>
      </c>
      <c r="I70" s="10">
        <f>(LEFT(B70,FIND("/",B70)-1)/RIGHT(B70,LEN(B70)-FIND("/", B70)))</f>
        <v>0</v>
      </c>
    </row>
    <row r="71" spans="1:9">
      <c r="A71" s="5" t="s">
        <v>75</v>
      </c>
      <c r="B71" s="6">
        <f>"1/1"</f>
        <v>0</v>
      </c>
      <c r="C71" s="8"/>
      <c r="D71" s="9">
        <f>((C71)*(H71)*(I71))/(G71*1)</f>
        <v>0</v>
      </c>
      <c r="E71" s="9">
        <f>D71/10000</f>
        <v>0</v>
      </c>
      <c r="G71" s="10">
        <f>digestion_page!B74</f>
        <v>0</v>
      </c>
      <c r="H71" s="10">
        <f>digestion_page!C74</f>
        <v>0</v>
      </c>
      <c r="I71" s="10">
        <f>(LEFT(B71,FIND("/",B71)-1)/RIGHT(B71,LEN(B71)-FIND("/", B71)))</f>
        <v>0</v>
      </c>
    </row>
    <row r="72" spans="1:9">
      <c r="A72" s="5" t="s">
        <v>76</v>
      </c>
      <c r="B72" s="6">
        <f>"1/1"</f>
        <v>0</v>
      </c>
      <c r="C72" s="8"/>
      <c r="D72" s="9">
        <f>((C72)*(H72)*(I72))/(G72*1)</f>
        <v>0</v>
      </c>
      <c r="E72" s="9">
        <f>D72/10000</f>
        <v>0</v>
      </c>
      <c r="G72" s="10">
        <f>digestion_page!B75</f>
        <v>0</v>
      </c>
      <c r="H72" s="10">
        <f>digestion_page!C75</f>
        <v>0</v>
      </c>
      <c r="I72" s="10">
        <f>(LEFT(B72,FIND("/",B72)-1)/RIGHT(B72,LEN(B72)-FIND("/", B72)))</f>
        <v>0</v>
      </c>
    </row>
    <row r="73" spans="1:9">
      <c r="A73" s="5" t="s">
        <v>77</v>
      </c>
      <c r="B73" s="6">
        <f>"1/1"</f>
        <v>0</v>
      </c>
      <c r="C73" s="8"/>
      <c r="D73" s="9">
        <f>((C73)*(H73)*(I73))/(G73*1)</f>
        <v>0</v>
      </c>
      <c r="E73" s="9">
        <f>D73/10000</f>
        <v>0</v>
      </c>
      <c r="G73" s="10">
        <f>digestion_page!B76</f>
        <v>0</v>
      </c>
      <c r="H73" s="10">
        <f>digestion_page!C76</f>
        <v>0</v>
      </c>
      <c r="I73" s="10">
        <f>(LEFT(B73,FIND("/",B73)-1)/RIGHT(B73,LEN(B73)-FIND("/", B73)))</f>
        <v>0</v>
      </c>
    </row>
    <row r="74" spans="1:9">
      <c r="A74" s="5" t="s">
        <v>78</v>
      </c>
      <c r="B74" s="6">
        <f>"1/1"</f>
        <v>0</v>
      </c>
      <c r="C74" s="8"/>
      <c r="D74" s="9">
        <f>((C74)*(H74)*(I74))/(G74*1)</f>
        <v>0</v>
      </c>
      <c r="E74" s="9">
        <f>D74/10000</f>
        <v>0</v>
      </c>
      <c r="G74" s="10">
        <f>digestion_page!B77</f>
        <v>0</v>
      </c>
      <c r="H74" s="10">
        <f>digestion_page!C77</f>
        <v>0</v>
      </c>
      <c r="I74" s="10">
        <f>(LEFT(B74,FIND("/",B74)-1)/RIGHT(B74,LEN(B74)-FIND("/", B74)))</f>
        <v>0</v>
      </c>
    </row>
    <row r="75" spans="1:9">
      <c r="A75" s="5" t="s">
        <v>79</v>
      </c>
      <c r="B75" s="6">
        <f>"1/1"</f>
        <v>0</v>
      </c>
      <c r="C75" s="8"/>
      <c r="D75" s="9">
        <f>((C75)*(H75)*(I75))/(G75*1)</f>
        <v>0</v>
      </c>
      <c r="E75" s="9">
        <f>D75/10000</f>
        <v>0</v>
      </c>
      <c r="G75" s="10">
        <f>digestion_page!B78</f>
        <v>0</v>
      </c>
      <c r="H75" s="10">
        <f>digestion_page!C78</f>
        <v>0</v>
      </c>
      <c r="I75" s="10">
        <f>(LEFT(B75,FIND("/",B75)-1)/RIGHT(B75,LEN(B75)-FIND("/", B75)))</f>
        <v>0</v>
      </c>
    </row>
    <row r="76" spans="1:9">
      <c r="A76" s="5" t="s">
        <v>80</v>
      </c>
      <c r="B76" s="6">
        <f>"1/1"</f>
        <v>0</v>
      </c>
      <c r="C76" s="8"/>
      <c r="D76" s="9">
        <f>((C76)*(H76)*(I76))/(G76*1)</f>
        <v>0</v>
      </c>
      <c r="E76" s="9">
        <f>D76/10000</f>
        <v>0</v>
      </c>
      <c r="G76" s="10">
        <f>digestion_page!B79</f>
        <v>0</v>
      </c>
      <c r="H76" s="10">
        <f>digestion_page!C79</f>
        <v>0</v>
      </c>
      <c r="I76" s="10">
        <f>(LEFT(B76,FIND("/",B76)-1)/RIGHT(B76,LEN(B76)-FIND("/", B76)))</f>
        <v>0</v>
      </c>
    </row>
    <row r="77" spans="1:9">
      <c r="A77" s="5" t="s">
        <v>81</v>
      </c>
      <c r="B77" s="6">
        <f>"1/1"</f>
        <v>0</v>
      </c>
      <c r="C77" s="8"/>
      <c r="D77" s="9">
        <f>((C77)*(H77)*(I77))/(G77*1)</f>
        <v>0</v>
      </c>
      <c r="E77" s="9">
        <f>D77/10000</f>
        <v>0</v>
      </c>
      <c r="G77" s="10">
        <f>digestion_page!B80</f>
        <v>0</v>
      </c>
      <c r="H77" s="10">
        <f>digestion_page!C80</f>
        <v>0</v>
      </c>
      <c r="I77" s="10">
        <f>(LEFT(B77,FIND("/",B77)-1)/RIGHT(B77,LEN(B77)-FIND("/", B77)))</f>
        <v>0</v>
      </c>
    </row>
    <row r="78" spans="1:9">
      <c r="A78" s="5" t="s">
        <v>82</v>
      </c>
      <c r="B78" s="6">
        <f>"1/1"</f>
        <v>0</v>
      </c>
      <c r="C78" s="8"/>
      <c r="D78" s="9">
        <f>((C78)*(H78)*(I78))/(G78*1)</f>
        <v>0</v>
      </c>
      <c r="E78" s="9">
        <f>D78/10000</f>
        <v>0</v>
      </c>
      <c r="G78" s="10">
        <f>digestion_page!B81</f>
        <v>0</v>
      </c>
      <c r="H78" s="10">
        <f>digestion_page!C81</f>
        <v>0</v>
      </c>
      <c r="I78" s="10">
        <f>(LEFT(B78,FIND("/",B78)-1)/RIGHT(B78,LEN(B78)-FIND("/", B78)))</f>
        <v>0</v>
      </c>
    </row>
    <row r="79" spans="1:9">
      <c r="A79" s="5" t="s">
        <v>83</v>
      </c>
      <c r="B79" s="6">
        <f>"1/1"</f>
        <v>0</v>
      </c>
      <c r="C79" s="8"/>
      <c r="D79" s="9">
        <f>((C79)*(H79)*(I79))/(G79*1)</f>
        <v>0</v>
      </c>
      <c r="E79" s="9">
        <f>D79/10000</f>
        <v>0</v>
      </c>
      <c r="G79" s="10">
        <f>digestion_page!B82</f>
        <v>0</v>
      </c>
      <c r="H79" s="10">
        <f>digestion_page!C82</f>
        <v>0</v>
      </c>
      <c r="I79" s="10">
        <f>(LEFT(B79,FIND("/",B79)-1)/RIGHT(B79,LEN(B79)-FIND("/", B79)))</f>
        <v>0</v>
      </c>
    </row>
    <row r="80" spans="1:9">
      <c r="A80" s="5" t="s">
        <v>84</v>
      </c>
      <c r="B80" s="6">
        <f>"1/1"</f>
        <v>0</v>
      </c>
      <c r="C80" s="8"/>
      <c r="D80" s="9">
        <f>((C80)*(H80)*(I80))/(G80*1)</f>
        <v>0</v>
      </c>
      <c r="E80" s="9">
        <f>D80/10000</f>
        <v>0</v>
      </c>
      <c r="G80" s="10">
        <f>digestion_page!B83</f>
        <v>0</v>
      </c>
      <c r="H80" s="10">
        <f>digestion_page!C83</f>
        <v>0</v>
      </c>
      <c r="I80" s="10">
        <f>(LEFT(B80,FIND("/",B80)-1)/RIGHT(B80,LEN(B80)-FIND("/", B80)))</f>
        <v>0</v>
      </c>
    </row>
    <row r="81" spans="1:9">
      <c r="A81" s="5" t="s">
        <v>85</v>
      </c>
      <c r="B81" s="6">
        <f>"1/1"</f>
        <v>0</v>
      </c>
      <c r="C81" s="8"/>
      <c r="D81" s="9">
        <f>((C81)*(H81)*(I81))/(G81*1)</f>
        <v>0</v>
      </c>
      <c r="E81" s="9">
        <f>D81/10000</f>
        <v>0</v>
      </c>
      <c r="G81" s="10">
        <f>digestion_page!B84</f>
        <v>0</v>
      </c>
      <c r="H81" s="10">
        <f>digestion_page!C84</f>
        <v>0</v>
      </c>
      <c r="I81" s="10">
        <f>(LEFT(B81,FIND("/",B81)-1)/RIGHT(B81,LEN(B81)-FIND("/", B81)))</f>
        <v>0</v>
      </c>
    </row>
    <row r="82" spans="1:9">
      <c r="A82" s="5" t="s">
        <v>86</v>
      </c>
      <c r="B82" s="6">
        <f>"1/1"</f>
        <v>0</v>
      </c>
      <c r="C82" s="8"/>
      <c r="D82" s="9">
        <f>((C82)*(H82)*(I82))/(G82*1)</f>
        <v>0</v>
      </c>
      <c r="E82" s="9">
        <f>D82/10000</f>
        <v>0</v>
      </c>
      <c r="G82" s="10">
        <f>digestion_page!B85</f>
        <v>0</v>
      </c>
      <c r="H82" s="10">
        <f>digestion_page!C85</f>
        <v>0</v>
      </c>
      <c r="I82" s="10">
        <f>(LEFT(B82,FIND("/",B82)-1)/RIGHT(B82,LEN(B82)-FIND("/", B82)))</f>
        <v>0</v>
      </c>
    </row>
    <row r="83" spans="1:9">
      <c r="A83" s="5" t="s">
        <v>87</v>
      </c>
      <c r="B83" s="6">
        <f>"1/1"</f>
        <v>0</v>
      </c>
      <c r="C83" s="8"/>
      <c r="D83" s="9">
        <f>((C83)*(H83)*(I83))/(G83*1)</f>
        <v>0</v>
      </c>
      <c r="E83" s="9">
        <f>D83/10000</f>
        <v>0</v>
      </c>
      <c r="G83" s="10">
        <f>digestion_page!B86</f>
        <v>0</v>
      </c>
      <c r="H83" s="10">
        <f>digestion_page!C86</f>
        <v>0</v>
      </c>
      <c r="I83" s="10">
        <f>(LEFT(B83,FIND("/",B83)-1)/RIGHT(B83,LEN(B83)-FIND("/", B83)))</f>
        <v>0</v>
      </c>
    </row>
    <row r="84" spans="1:9">
      <c r="A84" s="5" t="s">
        <v>88</v>
      </c>
      <c r="B84" s="6">
        <f>"1/1"</f>
        <v>0</v>
      </c>
      <c r="C84" s="8"/>
      <c r="D84" s="9">
        <f>((C84)*(H84)*(I84))/(G84*1)</f>
        <v>0</v>
      </c>
      <c r="E84" s="9">
        <f>D84/10000</f>
        <v>0</v>
      </c>
      <c r="G84" s="10">
        <f>digestion_page!B87</f>
        <v>0</v>
      </c>
      <c r="H84" s="10">
        <f>digestion_page!C87</f>
        <v>0</v>
      </c>
      <c r="I84" s="10">
        <f>(LEFT(B84,FIND("/",B84)-1)/RIGHT(B84,LEN(B84)-FIND("/", B84)))</f>
        <v>0</v>
      </c>
    </row>
    <row r="85" spans="1:9">
      <c r="A85" s="5" t="s">
        <v>89</v>
      </c>
      <c r="B85" s="6">
        <f>"1/1"</f>
        <v>0</v>
      </c>
      <c r="C85" s="8"/>
      <c r="D85" s="9">
        <f>((C85)*(H85)*(I85))/(G85*1)</f>
        <v>0</v>
      </c>
      <c r="E85" s="9">
        <f>D85/10000</f>
        <v>0</v>
      </c>
      <c r="G85" s="10">
        <f>digestion_page!B88</f>
        <v>0</v>
      </c>
      <c r="H85" s="10">
        <f>digestion_page!C88</f>
        <v>0</v>
      </c>
      <c r="I85" s="10">
        <f>(LEFT(B85,FIND("/",B85)-1)/RIGHT(B85,LEN(B85)-FIND("/", B85)))</f>
        <v>0</v>
      </c>
    </row>
    <row r="86" spans="1:9">
      <c r="A86" s="5" t="s">
        <v>90</v>
      </c>
      <c r="B86" s="6">
        <f>"1/1"</f>
        <v>0</v>
      </c>
      <c r="C86" s="8"/>
      <c r="D86" s="9">
        <f>((C86)*(H86)*(I86))/(G86*1)</f>
        <v>0</v>
      </c>
      <c r="E86" s="9">
        <f>D86/10000</f>
        <v>0</v>
      </c>
      <c r="G86" s="10">
        <f>digestion_page!B89</f>
        <v>0</v>
      </c>
      <c r="H86" s="10">
        <f>digestion_page!C89</f>
        <v>0</v>
      </c>
      <c r="I86" s="10">
        <f>(LEFT(B86,FIND("/",B86)-1)/RIGHT(B86,LEN(B86)-FIND("/", B86)))</f>
        <v>0</v>
      </c>
    </row>
    <row r="87" spans="1:9">
      <c r="A87" s="5" t="s">
        <v>91</v>
      </c>
      <c r="B87" s="6">
        <f>"1/1"</f>
        <v>0</v>
      </c>
      <c r="C87" s="8"/>
      <c r="D87" s="9">
        <f>((C87)*(H87)*(I87))/(G87*1)</f>
        <v>0</v>
      </c>
      <c r="E87" s="9">
        <f>D87/10000</f>
        <v>0</v>
      </c>
      <c r="G87" s="10">
        <f>digestion_page!B90</f>
        <v>0</v>
      </c>
      <c r="H87" s="10">
        <f>digestion_page!C90</f>
        <v>0</v>
      </c>
      <c r="I87" s="10">
        <f>(LEFT(B87,FIND("/",B87)-1)/RIGHT(B87,LEN(B87)-FIND("/", B87)))</f>
        <v>0</v>
      </c>
    </row>
    <row r="88" spans="1:9">
      <c r="A88" s="5" t="s">
        <v>92</v>
      </c>
      <c r="B88" s="6">
        <f>"1/1"</f>
        <v>0</v>
      </c>
      <c r="C88" s="8"/>
      <c r="D88" s="9">
        <f>((C88)*(H88)*(I88))/(G88*1)</f>
        <v>0</v>
      </c>
      <c r="E88" s="9">
        <f>D88/10000</f>
        <v>0</v>
      </c>
      <c r="G88" s="10">
        <f>digestion_page!B91</f>
        <v>0</v>
      </c>
      <c r="H88" s="10">
        <f>digestion_page!C91</f>
        <v>0</v>
      </c>
      <c r="I88" s="10">
        <f>(LEFT(B88,FIND("/",B88)-1)/RIGHT(B88,LEN(B88)-FIND("/", B88)))</f>
        <v>0</v>
      </c>
    </row>
    <row r="89" spans="1:9">
      <c r="A89" s="5" t="s">
        <v>93</v>
      </c>
      <c r="B89" s="6">
        <f>"1/1"</f>
        <v>0</v>
      </c>
      <c r="C89" s="8"/>
      <c r="D89" s="9">
        <f>((C89)*(H89)*(I89))/(G89*1)</f>
        <v>0</v>
      </c>
      <c r="E89" s="9">
        <f>D89/10000</f>
        <v>0</v>
      </c>
      <c r="G89" s="10">
        <f>digestion_page!B92</f>
        <v>0</v>
      </c>
      <c r="H89" s="10">
        <f>digestion_page!C92</f>
        <v>0</v>
      </c>
      <c r="I89" s="10">
        <f>(LEFT(B89,FIND("/",B89)-1)/RIGHT(B89,LEN(B89)-FIND("/", B89)))</f>
        <v>0</v>
      </c>
    </row>
    <row r="90" spans="1:9">
      <c r="A90" s="5" t="s">
        <v>94</v>
      </c>
      <c r="B90" s="6">
        <f>"1/1"</f>
        <v>0</v>
      </c>
      <c r="C90" s="8"/>
      <c r="D90" s="9">
        <f>((C90)*(H90)*(I90))/(G90*1)</f>
        <v>0</v>
      </c>
      <c r="E90" s="9">
        <f>D90/10000</f>
        <v>0</v>
      </c>
      <c r="G90" s="10">
        <f>digestion_page!B93</f>
        <v>0</v>
      </c>
      <c r="H90" s="10">
        <f>digestion_page!C93</f>
        <v>0</v>
      </c>
      <c r="I90" s="10">
        <f>(LEFT(B90,FIND("/",B90)-1)/RIGHT(B90,LEN(B90)-FIND("/", B90)))</f>
        <v>0</v>
      </c>
    </row>
    <row r="91" spans="1:9">
      <c r="A91" s="5" t="s">
        <v>95</v>
      </c>
      <c r="B91" s="6">
        <f>"1/1"</f>
        <v>0</v>
      </c>
      <c r="C91" s="8"/>
      <c r="D91" s="9">
        <f>((C91)*(H91)*(I91))/(G91*1)</f>
        <v>0</v>
      </c>
      <c r="E91" s="9">
        <f>D91/10000</f>
        <v>0</v>
      </c>
      <c r="G91" s="10">
        <f>digestion_page!B94</f>
        <v>0</v>
      </c>
      <c r="H91" s="10">
        <f>digestion_page!C94</f>
        <v>0</v>
      </c>
      <c r="I91" s="10">
        <f>(LEFT(B91,FIND("/",B91)-1)/RIGHT(B91,LEN(B91)-FIND("/", B91)))</f>
        <v>0</v>
      </c>
    </row>
    <row r="92" spans="1:9">
      <c r="A92" s="5" t="s">
        <v>96</v>
      </c>
      <c r="B92" s="6">
        <f>"1/1"</f>
        <v>0</v>
      </c>
      <c r="C92" s="8"/>
      <c r="D92" s="9">
        <f>((C92)*(H92)*(I92))/(G92*1)</f>
        <v>0</v>
      </c>
      <c r="E92" s="9">
        <f>D92/10000</f>
        <v>0</v>
      </c>
      <c r="G92" s="10">
        <f>digestion_page!B95</f>
        <v>0</v>
      </c>
      <c r="H92" s="10">
        <f>digestion_page!C95</f>
        <v>0</v>
      </c>
      <c r="I92" s="10">
        <f>(LEFT(B92,FIND("/",B92)-1)/RIGHT(B92,LEN(B92)-FIND("/", B92)))</f>
        <v>0</v>
      </c>
    </row>
    <row r="93" spans="1:9">
      <c r="A93" s="5" t="s">
        <v>97</v>
      </c>
      <c r="B93" s="6">
        <f>"1/1"</f>
        <v>0</v>
      </c>
      <c r="C93" s="8"/>
      <c r="D93" s="9">
        <f>((C93)*(H93)*(I93))/(G93*1)</f>
        <v>0</v>
      </c>
      <c r="E93" s="9">
        <f>D93/10000</f>
        <v>0</v>
      </c>
      <c r="G93" s="10">
        <f>digestion_page!B96</f>
        <v>0</v>
      </c>
      <c r="H93" s="10">
        <f>digestion_page!C96</f>
        <v>0</v>
      </c>
      <c r="I93" s="10">
        <f>(LEFT(B93,FIND("/",B93)-1)/RIGHT(B93,LEN(B93)-FIND("/", B93)))</f>
        <v>0</v>
      </c>
    </row>
    <row r="94" spans="1:9">
      <c r="A94" s="5" t="s">
        <v>98</v>
      </c>
      <c r="B94" s="6">
        <f>"1/1"</f>
        <v>0</v>
      </c>
      <c r="C94" s="8"/>
      <c r="D94" s="9">
        <f>((C94)*(H94)*(I94))/(G94*1)</f>
        <v>0</v>
      </c>
      <c r="E94" s="9">
        <f>D94/10000</f>
        <v>0</v>
      </c>
      <c r="G94" s="10">
        <f>digestion_page!B97</f>
        <v>0</v>
      </c>
      <c r="H94" s="10">
        <f>digestion_page!C97</f>
        <v>0</v>
      </c>
      <c r="I94" s="10">
        <f>(LEFT(B94,FIND("/",B94)-1)/RIGHT(B94,LEN(B94)-FIND("/", B94)))</f>
        <v>0</v>
      </c>
    </row>
    <row r="95" spans="1:9">
      <c r="A95" s="5" t="s">
        <v>99</v>
      </c>
      <c r="B95" s="6">
        <f>"1/1"</f>
        <v>0</v>
      </c>
      <c r="C95" s="8"/>
      <c r="D95" s="9">
        <f>((C95)*(H95)*(I95))/(G95*1)</f>
        <v>0</v>
      </c>
      <c r="E95" s="9">
        <f>D95/10000</f>
        <v>0</v>
      </c>
      <c r="G95" s="10">
        <f>digestion_page!B98</f>
        <v>0</v>
      </c>
      <c r="H95" s="10">
        <f>digestion_page!C98</f>
        <v>0</v>
      </c>
      <c r="I95" s="10">
        <f>(LEFT(B95,FIND("/",B95)-1)/RIGHT(B95,LEN(B95)-FIND("/", B95)))</f>
        <v>0</v>
      </c>
    </row>
    <row r="96" spans="1:9">
      <c r="A96" s="5" t="s">
        <v>100</v>
      </c>
      <c r="B96" s="6">
        <f>"1/1"</f>
        <v>0</v>
      </c>
      <c r="C96" s="8"/>
      <c r="D96" s="9">
        <f>((C96)*(H96)*(I96))/(G96*1)</f>
        <v>0</v>
      </c>
      <c r="E96" s="9">
        <f>D96/10000</f>
        <v>0</v>
      </c>
      <c r="G96" s="10">
        <f>digestion_page!B99</f>
        <v>0</v>
      </c>
      <c r="H96" s="10">
        <f>digestion_page!C99</f>
        <v>0</v>
      </c>
      <c r="I96" s="10">
        <f>(LEFT(B96,FIND("/",B96)-1)/RIGHT(B96,LEN(B96)-FIND("/", B96)))</f>
        <v>0</v>
      </c>
    </row>
    <row r="97" spans="1:9">
      <c r="A97" s="5" t="s">
        <v>101</v>
      </c>
      <c r="B97" s="6">
        <f>"1/1"</f>
        <v>0</v>
      </c>
      <c r="C97" s="8"/>
      <c r="D97" s="9">
        <f>((C97)*(H97)*(I97))/(G97*1)</f>
        <v>0</v>
      </c>
      <c r="E97" s="9">
        <f>D97/10000</f>
        <v>0</v>
      </c>
      <c r="G97" s="10">
        <f>digestion_page!B100</f>
        <v>0</v>
      </c>
      <c r="H97" s="10">
        <f>digestion_page!C100</f>
        <v>0</v>
      </c>
      <c r="I97" s="10">
        <f>(LEFT(B97,FIND("/",B97)-1)/RIGHT(B97,LEN(B97)-FIND("/", B97)))</f>
        <v>0</v>
      </c>
    </row>
    <row r="98" spans="1:9">
      <c r="A98" s="5" t="s">
        <v>102</v>
      </c>
      <c r="B98" s="6">
        <f>"1/1"</f>
        <v>0</v>
      </c>
      <c r="C98" s="8"/>
      <c r="D98" s="9">
        <f>((C98)*(H98)*(I98))/(G98*1)</f>
        <v>0</v>
      </c>
      <c r="E98" s="9">
        <f>D98/10000</f>
        <v>0</v>
      </c>
      <c r="G98" s="10">
        <f>digestion_page!B101</f>
        <v>0</v>
      </c>
      <c r="H98" s="10">
        <f>digestion_page!C101</f>
        <v>0</v>
      </c>
      <c r="I98" s="10">
        <f>(LEFT(B98,FIND("/",B98)-1)/RIGHT(B98,LEN(B98)-FIND("/", B98)))</f>
        <v>0</v>
      </c>
    </row>
    <row r="99" spans="1:9">
      <c r="A99" s="5" t="s">
        <v>103</v>
      </c>
      <c r="B99" s="6">
        <f>"1/1"</f>
        <v>0</v>
      </c>
      <c r="C99" s="8"/>
      <c r="D99" s="9">
        <f>((C99)*(H99)*(I99))/(G99*1)</f>
        <v>0</v>
      </c>
      <c r="E99" s="9">
        <f>D99/10000</f>
        <v>0</v>
      </c>
      <c r="G99" s="10">
        <f>digestion_page!B102</f>
        <v>0</v>
      </c>
      <c r="H99" s="10">
        <f>digestion_page!C102</f>
        <v>0</v>
      </c>
      <c r="I99" s="10">
        <f>(LEFT(B99,FIND("/",B99)-1)/RIGHT(B99,LEN(B99)-FIND("/", B99)))</f>
        <v>0</v>
      </c>
    </row>
    <row r="100" spans="1:9">
      <c r="A100" s="5" t="s">
        <v>104</v>
      </c>
      <c r="B100" s="6">
        <f>"1/1"</f>
        <v>0</v>
      </c>
      <c r="C100" s="8"/>
      <c r="D100" s="9">
        <f>((C100)*(H100)*(I100))/(G100*1)</f>
        <v>0</v>
      </c>
      <c r="E100" s="9">
        <f>D100/10000</f>
        <v>0</v>
      </c>
      <c r="G100" s="10">
        <f>digestion_page!B103</f>
        <v>0</v>
      </c>
      <c r="H100" s="10">
        <f>digestion_page!C103</f>
        <v>0</v>
      </c>
      <c r="I100" s="10">
        <f>(LEFT(B100,FIND("/",B100)-1)/RIGHT(B100,LEN(B100)-FIND("/", B100)))</f>
        <v>0</v>
      </c>
    </row>
    <row r="101" spans="1:9">
      <c r="A101" s="5" t="s">
        <v>105</v>
      </c>
      <c r="B101" s="6">
        <f>"1/1"</f>
        <v>0</v>
      </c>
      <c r="C101" s="8"/>
      <c r="D101" s="9">
        <f>((C101)*(H101)*(I101))/(G101*1)</f>
        <v>0</v>
      </c>
      <c r="E101" s="9">
        <f>D101/10000</f>
        <v>0</v>
      </c>
      <c r="G101" s="10">
        <f>digestion_page!B104</f>
        <v>0</v>
      </c>
      <c r="H101" s="10">
        <f>digestion_page!C104</f>
        <v>0</v>
      </c>
      <c r="I101" s="10">
        <f>(LEFT(B101,FIND("/",B101)-1)/RIGHT(B101,LEN(B101)-FIND("/", B101)))</f>
        <v>0</v>
      </c>
    </row>
    <row r="102" spans="1:9">
      <c r="A102" s="5" t="s">
        <v>106</v>
      </c>
      <c r="B102" s="6">
        <f>"1/1"</f>
        <v>0</v>
      </c>
      <c r="C102" s="8"/>
      <c r="D102" s="9">
        <f>((C102)*(H102)*(I102))/(G102*1)</f>
        <v>0</v>
      </c>
      <c r="E102" s="9">
        <f>D102/10000</f>
        <v>0</v>
      </c>
      <c r="G102" s="10">
        <f>digestion_page!B105</f>
        <v>0</v>
      </c>
      <c r="H102" s="10">
        <f>digestion_page!C105</f>
        <v>0</v>
      </c>
      <c r="I102" s="10">
        <f>(LEFT(B102,FIND("/",B102)-1)/RIGHT(B102,LEN(B102)-FIND("/", B102)))</f>
        <v>0</v>
      </c>
    </row>
    <row r="103" spans="1:9">
      <c r="A103" s="5" t="s">
        <v>107</v>
      </c>
      <c r="B103" s="6">
        <f>"1/1"</f>
        <v>0</v>
      </c>
      <c r="C103" s="8"/>
      <c r="D103" s="9">
        <f>((C103)*(H103)*(I103))/(G103*1)</f>
        <v>0</v>
      </c>
      <c r="E103" s="9">
        <f>D103/10000</f>
        <v>0</v>
      </c>
      <c r="G103" s="10">
        <f>digestion_page!B106</f>
        <v>0</v>
      </c>
      <c r="H103" s="10">
        <f>digestion_page!C106</f>
        <v>0</v>
      </c>
      <c r="I103" s="10">
        <f>(LEFT(B103,FIND("/",B103)-1)/RIGHT(B103,LEN(B103)-FIND("/", B103)))</f>
        <v>0</v>
      </c>
    </row>
    <row r="104" spans="1:9">
      <c r="A104" s="5" t="s">
        <v>108</v>
      </c>
      <c r="B104" s="6">
        <f>"1/1"</f>
        <v>0</v>
      </c>
      <c r="C104" s="8"/>
      <c r="D104" s="9">
        <f>((C104)*(H104)*(I104))/(G104*1)</f>
        <v>0</v>
      </c>
      <c r="E104" s="9">
        <f>D104/10000</f>
        <v>0</v>
      </c>
      <c r="G104" s="10">
        <f>digestion_page!B107</f>
        <v>0</v>
      </c>
      <c r="H104" s="10">
        <f>digestion_page!C107</f>
        <v>0</v>
      </c>
      <c r="I104" s="10">
        <f>(LEFT(B104,FIND("/",B104)-1)/RIGHT(B104,LEN(B104)-FIND("/", B104)))</f>
        <v>0</v>
      </c>
    </row>
    <row r="105" spans="1:9">
      <c r="A105" s="5" t="s">
        <v>109</v>
      </c>
      <c r="B105" s="6">
        <f>"1/1"</f>
        <v>0</v>
      </c>
      <c r="C105" s="8"/>
      <c r="D105" s="9">
        <f>((C105)*(H105)*(I105))/(G105*1)</f>
        <v>0</v>
      </c>
      <c r="E105" s="9">
        <f>D105/10000</f>
        <v>0</v>
      </c>
      <c r="G105" s="10">
        <f>digestion_page!B108</f>
        <v>0</v>
      </c>
      <c r="H105" s="10">
        <f>digestion_page!C108</f>
        <v>0</v>
      </c>
      <c r="I105" s="10">
        <f>(LEFT(B105,FIND("/",B105)-1)/RIGHT(B105,LEN(B105)-FIND("/", B105)))</f>
        <v>0</v>
      </c>
    </row>
    <row r="106" spans="1:9">
      <c r="A106" s="5" t="s">
        <v>110</v>
      </c>
      <c r="B106" s="6">
        <f>"1/1"</f>
        <v>0</v>
      </c>
      <c r="C106" s="8"/>
      <c r="D106" s="9">
        <f>((C106)*(H106)*(I106))/(G106*1)</f>
        <v>0</v>
      </c>
      <c r="E106" s="9">
        <f>D106/10000</f>
        <v>0</v>
      </c>
      <c r="G106" s="10">
        <f>digestion_page!B109</f>
        <v>0</v>
      </c>
      <c r="H106" s="10">
        <f>digestion_page!C109</f>
        <v>0</v>
      </c>
      <c r="I106" s="10">
        <f>(LEFT(B106,FIND("/",B106)-1)/RIGHT(B106,LEN(B106)-FIND("/", B106)))</f>
        <v>0</v>
      </c>
    </row>
    <row r="107" spans="1:9">
      <c r="A107" s="5" t="s">
        <v>111</v>
      </c>
      <c r="B107" s="6">
        <f>"1/1"</f>
        <v>0</v>
      </c>
      <c r="C107" s="8"/>
      <c r="D107" s="9">
        <f>((C107)*(H107)*(I107))/(G107*1)</f>
        <v>0</v>
      </c>
      <c r="E107" s="9">
        <f>D107/10000</f>
        <v>0</v>
      </c>
      <c r="G107" s="10">
        <f>digestion_page!B110</f>
        <v>0</v>
      </c>
      <c r="H107" s="10">
        <f>digestion_page!C110</f>
        <v>0</v>
      </c>
      <c r="I107" s="10">
        <f>(LEFT(B107,FIND("/",B107)-1)/RIGHT(B107,LEN(B107)-FIND("/", B107)))</f>
        <v>0</v>
      </c>
    </row>
    <row r="109" spans="1:9">
      <c r="A109" s="11" t="s">
        <v>219</v>
      </c>
      <c r="B109" s="11"/>
      <c r="C109" s="12">
        <f>AVERAGE(D7:D107)</f>
        <v>0</v>
      </c>
    </row>
    <row r="110" spans="1:9">
      <c r="A110" s="11" t="s">
        <v>219</v>
      </c>
      <c r="B110" s="11"/>
      <c r="C110" s="13">
        <f>AVERAGE(E7:E107)</f>
        <v>0</v>
      </c>
    </row>
    <row r="111" spans="1:9">
      <c r="A111" s="11" t="s">
        <v>220</v>
      </c>
      <c r="B111" s="11"/>
      <c r="C111" s="14" t="s">
        <v>221</v>
      </c>
      <c r="D111" s="14"/>
      <c r="E111" s="14"/>
      <c r="F111" s="14"/>
    </row>
    <row r="113" spans="2:6">
      <c r="B113" s="11" t="s">
        <v>222</v>
      </c>
      <c r="C113" s="15"/>
      <c r="D113" s="15"/>
      <c r="E113" s="15"/>
      <c r="F113" s="15"/>
    </row>
    <row r="114" spans="2:6">
      <c r="C114" s="15"/>
      <c r="D114" s="15"/>
      <c r="E114" s="15"/>
      <c r="F114" s="15"/>
    </row>
    <row r="115" spans="2:6">
      <c r="C115" s="15"/>
      <c r="D115" s="15"/>
      <c r="E115" s="15"/>
      <c r="F115" s="15"/>
    </row>
  </sheetData>
  <mergeCells count="6">
    <mergeCell ref="A5:B5"/>
    <mergeCell ref="A109:B109"/>
    <mergeCell ref="A110:B110"/>
    <mergeCell ref="A111:B111"/>
    <mergeCell ref="C111:F111"/>
    <mergeCell ref="C113:F115"/>
  </mergeCells>
  <conditionalFormatting sqref="C111:F111">
    <cfRule type="containsBlanks" dxfId="0" priority="1">
      <formula>LEN(TRIM(C111))=0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5"/>
  <sheetViews>
    <sheetView workbookViewId="0"/>
  </sheetViews>
  <sheetFormatPr defaultRowHeight="15"/>
  <cols>
    <col min="1" max="1" width="14" bestFit="1" customWidth="1"/>
    <col min="2" max="2" width="10.7109375" bestFit="1" customWidth="1"/>
    <col min="3" max="3" width="12.7109375" customWidth="1"/>
    <col min="4" max="4" width="8.140625" bestFit="1" customWidth="1"/>
    <col min="5" max="6" width="7.7109375" customWidth="1"/>
  </cols>
  <sheetData>
    <row r="1" spans="1:9">
      <c r="A1" s="1" t="s">
        <v>0</v>
      </c>
      <c r="B1" s="2">
        <v>46211</v>
      </c>
    </row>
    <row r="2" spans="1:9">
      <c r="A2" s="1" t="s">
        <v>1</v>
      </c>
      <c r="B2" s="3" t="s">
        <v>2</v>
      </c>
    </row>
    <row r="5" spans="1:9">
      <c r="A5" s="3" t="s">
        <v>213</v>
      </c>
      <c r="B5" s="3"/>
    </row>
    <row r="6" spans="1:9">
      <c r="A6" s="5" t="s">
        <v>214</v>
      </c>
      <c r="B6" s="5" t="s">
        <v>215</v>
      </c>
      <c r="C6" s="5" t="s">
        <v>216</v>
      </c>
      <c r="D6" s="5" t="s">
        <v>217</v>
      </c>
      <c r="E6" s="5" t="s">
        <v>218</v>
      </c>
    </row>
    <row r="7" spans="1:9">
      <c r="A7" s="5" t="s">
        <v>112</v>
      </c>
      <c r="B7" s="6">
        <f>"1/1"</f>
        <v>0</v>
      </c>
      <c r="C7" s="8"/>
      <c r="D7" s="9">
        <f>((C7)*(H7)*(I7))/(G7*1)</f>
        <v>0</v>
      </c>
      <c r="E7" s="9">
        <f>D7/10000</f>
        <v>0</v>
      </c>
      <c r="G7" s="10">
        <f>digestion_page!B111</f>
        <v>0</v>
      </c>
      <c r="H7" s="10">
        <f>digestion_page!C111</f>
        <v>0</v>
      </c>
      <c r="I7" s="10">
        <f>(LEFT(B7,FIND("/",B7)-1)/RIGHT(B7,LEN(B7)-FIND("/", B7)))</f>
        <v>0</v>
      </c>
    </row>
    <row r="8" spans="1:9">
      <c r="A8" s="5" t="s">
        <v>113</v>
      </c>
      <c r="B8" s="6">
        <f>"1/1"</f>
        <v>0</v>
      </c>
      <c r="C8" s="8"/>
      <c r="D8" s="9">
        <f>((C8)*(H8)*(I8))/(G8*1)</f>
        <v>0</v>
      </c>
      <c r="E8" s="9">
        <f>D8/10000</f>
        <v>0</v>
      </c>
      <c r="G8" s="10">
        <f>digestion_page!B112</f>
        <v>0</v>
      </c>
      <c r="H8" s="10">
        <f>digestion_page!C112</f>
        <v>0</v>
      </c>
      <c r="I8" s="10">
        <f>(LEFT(B8,FIND("/",B8)-1)/RIGHT(B8,LEN(B8)-FIND("/", B8)))</f>
        <v>0</v>
      </c>
    </row>
    <row r="9" spans="1:9">
      <c r="A9" s="5" t="s">
        <v>114</v>
      </c>
      <c r="B9" s="6">
        <f>"1/1"</f>
        <v>0</v>
      </c>
      <c r="C9" s="8"/>
      <c r="D9" s="9">
        <f>((C9)*(H9)*(I9))/(G9*1)</f>
        <v>0</v>
      </c>
      <c r="E9" s="9">
        <f>D9/10000</f>
        <v>0</v>
      </c>
      <c r="G9" s="10">
        <f>digestion_page!B113</f>
        <v>0</v>
      </c>
      <c r="H9" s="10">
        <f>digestion_page!C113</f>
        <v>0</v>
      </c>
      <c r="I9" s="10">
        <f>(LEFT(B9,FIND("/",B9)-1)/RIGHT(B9,LEN(B9)-FIND("/", B9)))</f>
        <v>0</v>
      </c>
    </row>
    <row r="10" spans="1:9">
      <c r="A10" s="5" t="s">
        <v>115</v>
      </c>
      <c r="B10" s="6">
        <f>"1/1"</f>
        <v>0</v>
      </c>
      <c r="C10" s="8"/>
      <c r="D10" s="9">
        <f>((C10)*(H10)*(I10))/(G10*1)</f>
        <v>0</v>
      </c>
      <c r="E10" s="9">
        <f>D10/10000</f>
        <v>0</v>
      </c>
      <c r="G10" s="10">
        <f>digestion_page!B114</f>
        <v>0</v>
      </c>
      <c r="H10" s="10">
        <f>digestion_page!C114</f>
        <v>0</v>
      </c>
      <c r="I10" s="10">
        <f>(LEFT(B10,FIND("/",B10)-1)/RIGHT(B10,LEN(B10)-FIND("/", B10)))</f>
        <v>0</v>
      </c>
    </row>
    <row r="11" spans="1:9">
      <c r="A11" s="5" t="s">
        <v>116</v>
      </c>
      <c r="B11" s="6">
        <f>"1/1"</f>
        <v>0</v>
      </c>
      <c r="C11" s="8"/>
      <c r="D11" s="9">
        <f>((C11)*(H11)*(I11))/(G11*1)</f>
        <v>0</v>
      </c>
      <c r="E11" s="9">
        <f>D11/10000</f>
        <v>0</v>
      </c>
      <c r="G11" s="10">
        <f>digestion_page!B115</f>
        <v>0</v>
      </c>
      <c r="H11" s="10">
        <f>digestion_page!C115</f>
        <v>0</v>
      </c>
      <c r="I11" s="10">
        <f>(LEFT(B11,FIND("/",B11)-1)/RIGHT(B11,LEN(B11)-FIND("/", B11)))</f>
        <v>0</v>
      </c>
    </row>
    <row r="12" spans="1:9">
      <c r="A12" s="5" t="s">
        <v>117</v>
      </c>
      <c r="B12" s="6">
        <f>"1/1"</f>
        <v>0</v>
      </c>
      <c r="C12" s="8"/>
      <c r="D12" s="9">
        <f>((C12)*(H12)*(I12))/(G12*1)</f>
        <v>0</v>
      </c>
      <c r="E12" s="9">
        <f>D12/10000</f>
        <v>0</v>
      </c>
      <c r="G12" s="10">
        <f>digestion_page!B116</f>
        <v>0</v>
      </c>
      <c r="H12" s="10">
        <f>digestion_page!C116</f>
        <v>0</v>
      </c>
      <c r="I12" s="10">
        <f>(LEFT(B12,FIND("/",B12)-1)/RIGHT(B12,LEN(B12)-FIND("/", B12)))</f>
        <v>0</v>
      </c>
    </row>
    <row r="13" spans="1:9">
      <c r="A13" s="5" t="s">
        <v>118</v>
      </c>
      <c r="B13" s="6">
        <f>"1/1"</f>
        <v>0</v>
      </c>
      <c r="C13" s="8"/>
      <c r="D13" s="9">
        <f>((C13)*(H13)*(I13))/(G13*1)</f>
        <v>0</v>
      </c>
      <c r="E13" s="9">
        <f>D13/10000</f>
        <v>0</v>
      </c>
      <c r="G13" s="10">
        <f>digestion_page!B117</f>
        <v>0</v>
      </c>
      <c r="H13" s="10">
        <f>digestion_page!C117</f>
        <v>0</v>
      </c>
      <c r="I13" s="10">
        <f>(LEFT(B13,FIND("/",B13)-1)/RIGHT(B13,LEN(B13)-FIND("/", B13)))</f>
        <v>0</v>
      </c>
    </row>
    <row r="14" spans="1:9">
      <c r="A14" s="5" t="s">
        <v>119</v>
      </c>
      <c r="B14" s="6">
        <f>"1/1"</f>
        <v>0</v>
      </c>
      <c r="C14" s="8"/>
      <c r="D14" s="9">
        <f>((C14)*(H14)*(I14))/(G14*1)</f>
        <v>0</v>
      </c>
      <c r="E14" s="9">
        <f>D14/10000</f>
        <v>0</v>
      </c>
      <c r="G14" s="10">
        <f>digestion_page!B118</f>
        <v>0</v>
      </c>
      <c r="H14" s="10">
        <f>digestion_page!C118</f>
        <v>0</v>
      </c>
      <c r="I14" s="10">
        <f>(LEFT(B14,FIND("/",B14)-1)/RIGHT(B14,LEN(B14)-FIND("/", B14)))</f>
        <v>0</v>
      </c>
    </row>
    <row r="15" spans="1:9">
      <c r="A15" s="5" t="s">
        <v>120</v>
      </c>
      <c r="B15" s="6">
        <f>"1/1"</f>
        <v>0</v>
      </c>
      <c r="C15" s="8"/>
      <c r="D15" s="9">
        <f>((C15)*(H15)*(I15))/(G15*1)</f>
        <v>0</v>
      </c>
      <c r="E15" s="9">
        <f>D15/10000</f>
        <v>0</v>
      </c>
      <c r="G15" s="10">
        <f>digestion_page!B119</f>
        <v>0</v>
      </c>
      <c r="H15" s="10">
        <f>digestion_page!C119</f>
        <v>0</v>
      </c>
      <c r="I15" s="10">
        <f>(LEFT(B15,FIND("/",B15)-1)/RIGHT(B15,LEN(B15)-FIND("/", B15)))</f>
        <v>0</v>
      </c>
    </row>
    <row r="16" spans="1:9">
      <c r="A16" s="5" t="s">
        <v>121</v>
      </c>
      <c r="B16" s="6">
        <f>"1/1"</f>
        <v>0</v>
      </c>
      <c r="C16" s="8"/>
      <c r="D16" s="9">
        <f>((C16)*(H16)*(I16))/(G16*1)</f>
        <v>0</v>
      </c>
      <c r="E16" s="9">
        <f>D16/10000</f>
        <v>0</v>
      </c>
      <c r="G16" s="10">
        <f>digestion_page!B120</f>
        <v>0</v>
      </c>
      <c r="H16" s="10">
        <f>digestion_page!C120</f>
        <v>0</v>
      </c>
      <c r="I16" s="10">
        <f>(LEFT(B16,FIND("/",B16)-1)/RIGHT(B16,LEN(B16)-FIND("/", B16)))</f>
        <v>0</v>
      </c>
    </row>
    <row r="17" spans="1:9">
      <c r="A17" s="5" t="s">
        <v>122</v>
      </c>
      <c r="B17" s="6">
        <f>"1/1"</f>
        <v>0</v>
      </c>
      <c r="C17" s="8"/>
      <c r="D17" s="9">
        <f>((C17)*(H17)*(I17))/(G17*1)</f>
        <v>0</v>
      </c>
      <c r="E17" s="9">
        <f>D17/10000</f>
        <v>0</v>
      </c>
      <c r="G17" s="10">
        <f>digestion_page!B121</f>
        <v>0</v>
      </c>
      <c r="H17" s="10">
        <f>digestion_page!C121</f>
        <v>0</v>
      </c>
      <c r="I17" s="10">
        <f>(LEFT(B17,FIND("/",B17)-1)/RIGHT(B17,LEN(B17)-FIND("/", B17)))</f>
        <v>0</v>
      </c>
    </row>
    <row r="18" spans="1:9">
      <c r="A18" s="5" t="s">
        <v>123</v>
      </c>
      <c r="B18" s="6">
        <f>"1/1"</f>
        <v>0</v>
      </c>
      <c r="C18" s="8"/>
      <c r="D18" s="9">
        <f>((C18)*(H18)*(I18))/(G18*1)</f>
        <v>0</v>
      </c>
      <c r="E18" s="9">
        <f>D18/10000</f>
        <v>0</v>
      </c>
      <c r="G18" s="10">
        <f>digestion_page!B122</f>
        <v>0</v>
      </c>
      <c r="H18" s="10">
        <f>digestion_page!C122</f>
        <v>0</v>
      </c>
      <c r="I18" s="10">
        <f>(LEFT(B18,FIND("/",B18)-1)/RIGHT(B18,LEN(B18)-FIND("/", B18)))</f>
        <v>0</v>
      </c>
    </row>
    <row r="19" spans="1:9">
      <c r="A19" s="5" t="s">
        <v>124</v>
      </c>
      <c r="B19" s="6">
        <f>"1/1"</f>
        <v>0</v>
      </c>
      <c r="C19" s="8"/>
      <c r="D19" s="9">
        <f>((C19)*(H19)*(I19))/(G19*1)</f>
        <v>0</v>
      </c>
      <c r="E19" s="9">
        <f>D19/10000</f>
        <v>0</v>
      </c>
      <c r="G19" s="10">
        <f>digestion_page!B123</f>
        <v>0</v>
      </c>
      <c r="H19" s="10">
        <f>digestion_page!C123</f>
        <v>0</v>
      </c>
      <c r="I19" s="10">
        <f>(LEFT(B19,FIND("/",B19)-1)/RIGHT(B19,LEN(B19)-FIND("/", B19)))</f>
        <v>0</v>
      </c>
    </row>
    <row r="20" spans="1:9">
      <c r="A20" s="5" t="s">
        <v>125</v>
      </c>
      <c r="B20" s="6">
        <f>"1/1"</f>
        <v>0</v>
      </c>
      <c r="C20" s="8"/>
      <c r="D20" s="9">
        <f>((C20)*(H20)*(I20))/(G20*1)</f>
        <v>0</v>
      </c>
      <c r="E20" s="9">
        <f>D20/10000</f>
        <v>0</v>
      </c>
      <c r="G20" s="10">
        <f>digestion_page!B124</f>
        <v>0</v>
      </c>
      <c r="H20" s="10">
        <f>digestion_page!C124</f>
        <v>0</v>
      </c>
      <c r="I20" s="10">
        <f>(LEFT(B20,FIND("/",B20)-1)/RIGHT(B20,LEN(B20)-FIND("/", B20)))</f>
        <v>0</v>
      </c>
    </row>
    <row r="21" spans="1:9">
      <c r="A21" s="5" t="s">
        <v>126</v>
      </c>
      <c r="B21" s="6">
        <f>"1/1"</f>
        <v>0</v>
      </c>
      <c r="C21" s="8"/>
      <c r="D21" s="9">
        <f>((C21)*(H21)*(I21))/(G21*1)</f>
        <v>0</v>
      </c>
      <c r="E21" s="9">
        <f>D21/10000</f>
        <v>0</v>
      </c>
      <c r="G21" s="10">
        <f>digestion_page!B125</f>
        <v>0</v>
      </c>
      <c r="H21" s="10">
        <f>digestion_page!C125</f>
        <v>0</v>
      </c>
      <c r="I21" s="10">
        <f>(LEFT(B21,FIND("/",B21)-1)/RIGHT(B21,LEN(B21)-FIND("/", B21)))</f>
        <v>0</v>
      </c>
    </row>
    <row r="22" spans="1:9">
      <c r="A22" s="5" t="s">
        <v>127</v>
      </c>
      <c r="B22" s="6">
        <f>"1/1"</f>
        <v>0</v>
      </c>
      <c r="C22" s="8"/>
      <c r="D22" s="9">
        <f>((C22)*(H22)*(I22))/(G22*1)</f>
        <v>0</v>
      </c>
      <c r="E22" s="9">
        <f>D22/10000</f>
        <v>0</v>
      </c>
      <c r="G22" s="10">
        <f>digestion_page!B126</f>
        <v>0</v>
      </c>
      <c r="H22" s="10">
        <f>digestion_page!C126</f>
        <v>0</v>
      </c>
      <c r="I22" s="10">
        <f>(LEFT(B22,FIND("/",B22)-1)/RIGHT(B22,LEN(B22)-FIND("/", B22)))</f>
        <v>0</v>
      </c>
    </row>
    <row r="23" spans="1:9">
      <c r="A23" s="5" t="s">
        <v>128</v>
      </c>
      <c r="B23" s="6">
        <f>"1/1"</f>
        <v>0</v>
      </c>
      <c r="C23" s="8"/>
      <c r="D23" s="9">
        <f>((C23)*(H23)*(I23))/(G23*1)</f>
        <v>0</v>
      </c>
      <c r="E23" s="9">
        <f>D23/10000</f>
        <v>0</v>
      </c>
      <c r="G23" s="10">
        <f>digestion_page!B127</f>
        <v>0</v>
      </c>
      <c r="H23" s="10">
        <f>digestion_page!C127</f>
        <v>0</v>
      </c>
      <c r="I23" s="10">
        <f>(LEFT(B23,FIND("/",B23)-1)/RIGHT(B23,LEN(B23)-FIND("/", B23)))</f>
        <v>0</v>
      </c>
    </row>
    <row r="24" spans="1:9">
      <c r="A24" s="5" t="s">
        <v>129</v>
      </c>
      <c r="B24" s="6">
        <f>"1/1"</f>
        <v>0</v>
      </c>
      <c r="C24" s="8"/>
      <c r="D24" s="9">
        <f>((C24)*(H24)*(I24))/(G24*1)</f>
        <v>0</v>
      </c>
      <c r="E24" s="9">
        <f>D24/10000</f>
        <v>0</v>
      </c>
      <c r="G24" s="10">
        <f>digestion_page!B128</f>
        <v>0</v>
      </c>
      <c r="H24" s="10">
        <f>digestion_page!C128</f>
        <v>0</v>
      </c>
      <c r="I24" s="10">
        <f>(LEFT(B24,FIND("/",B24)-1)/RIGHT(B24,LEN(B24)-FIND("/", B24)))</f>
        <v>0</v>
      </c>
    </row>
    <row r="25" spans="1:9">
      <c r="A25" s="5" t="s">
        <v>130</v>
      </c>
      <c r="B25" s="6">
        <f>"1/1"</f>
        <v>0</v>
      </c>
      <c r="C25" s="8"/>
      <c r="D25" s="9">
        <f>((C25)*(H25)*(I25))/(G25*1)</f>
        <v>0</v>
      </c>
      <c r="E25" s="9">
        <f>D25/10000</f>
        <v>0</v>
      </c>
      <c r="G25" s="10">
        <f>digestion_page!B129</f>
        <v>0</v>
      </c>
      <c r="H25" s="10">
        <f>digestion_page!C129</f>
        <v>0</v>
      </c>
      <c r="I25" s="10">
        <f>(LEFT(B25,FIND("/",B25)-1)/RIGHT(B25,LEN(B25)-FIND("/", B25)))</f>
        <v>0</v>
      </c>
    </row>
    <row r="26" spans="1:9">
      <c r="A26" s="5" t="s">
        <v>131</v>
      </c>
      <c r="B26" s="6">
        <f>"1/1"</f>
        <v>0</v>
      </c>
      <c r="C26" s="8"/>
      <c r="D26" s="9">
        <f>((C26)*(H26)*(I26))/(G26*1)</f>
        <v>0</v>
      </c>
      <c r="E26" s="9">
        <f>D26/10000</f>
        <v>0</v>
      </c>
      <c r="G26" s="10">
        <f>digestion_page!B130</f>
        <v>0</v>
      </c>
      <c r="H26" s="10">
        <f>digestion_page!C130</f>
        <v>0</v>
      </c>
      <c r="I26" s="10">
        <f>(LEFT(B26,FIND("/",B26)-1)/RIGHT(B26,LEN(B26)-FIND("/", B26)))</f>
        <v>0</v>
      </c>
    </row>
    <row r="27" spans="1:9">
      <c r="A27" s="5" t="s">
        <v>132</v>
      </c>
      <c r="B27" s="6">
        <f>"1/1"</f>
        <v>0</v>
      </c>
      <c r="C27" s="8"/>
      <c r="D27" s="9">
        <f>((C27)*(H27)*(I27))/(G27*1)</f>
        <v>0</v>
      </c>
      <c r="E27" s="9">
        <f>D27/10000</f>
        <v>0</v>
      </c>
      <c r="G27" s="10">
        <f>digestion_page!B131</f>
        <v>0</v>
      </c>
      <c r="H27" s="10">
        <f>digestion_page!C131</f>
        <v>0</v>
      </c>
      <c r="I27" s="10">
        <f>(LEFT(B27,FIND("/",B27)-1)/RIGHT(B27,LEN(B27)-FIND("/", B27)))</f>
        <v>0</v>
      </c>
    </row>
    <row r="28" spans="1:9">
      <c r="A28" s="5" t="s">
        <v>133</v>
      </c>
      <c r="B28" s="6">
        <f>"1/1"</f>
        <v>0</v>
      </c>
      <c r="C28" s="8"/>
      <c r="D28" s="9">
        <f>((C28)*(H28)*(I28))/(G28*1)</f>
        <v>0</v>
      </c>
      <c r="E28" s="9">
        <f>D28/10000</f>
        <v>0</v>
      </c>
      <c r="G28" s="10">
        <f>digestion_page!B132</f>
        <v>0</v>
      </c>
      <c r="H28" s="10">
        <f>digestion_page!C132</f>
        <v>0</v>
      </c>
      <c r="I28" s="10">
        <f>(LEFT(B28,FIND("/",B28)-1)/RIGHT(B28,LEN(B28)-FIND("/", B28)))</f>
        <v>0</v>
      </c>
    </row>
    <row r="29" spans="1:9">
      <c r="A29" s="5" t="s">
        <v>134</v>
      </c>
      <c r="B29" s="6">
        <f>"1/1"</f>
        <v>0</v>
      </c>
      <c r="C29" s="8"/>
      <c r="D29" s="9">
        <f>((C29)*(H29)*(I29))/(G29*1)</f>
        <v>0</v>
      </c>
      <c r="E29" s="9">
        <f>D29/10000</f>
        <v>0</v>
      </c>
      <c r="G29" s="10">
        <f>digestion_page!B133</f>
        <v>0</v>
      </c>
      <c r="H29" s="10">
        <f>digestion_page!C133</f>
        <v>0</v>
      </c>
      <c r="I29" s="10">
        <f>(LEFT(B29,FIND("/",B29)-1)/RIGHT(B29,LEN(B29)-FIND("/", B29)))</f>
        <v>0</v>
      </c>
    </row>
    <row r="30" spans="1:9">
      <c r="A30" s="5" t="s">
        <v>135</v>
      </c>
      <c r="B30" s="6">
        <f>"1/1"</f>
        <v>0</v>
      </c>
      <c r="C30" s="8"/>
      <c r="D30" s="9">
        <f>((C30)*(H30)*(I30))/(G30*1)</f>
        <v>0</v>
      </c>
      <c r="E30" s="9">
        <f>D30/10000</f>
        <v>0</v>
      </c>
      <c r="G30" s="10">
        <f>digestion_page!B134</f>
        <v>0</v>
      </c>
      <c r="H30" s="10">
        <f>digestion_page!C134</f>
        <v>0</v>
      </c>
      <c r="I30" s="10">
        <f>(LEFT(B30,FIND("/",B30)-1)/RIGHT(B30,LEN(B30)-FIND("/", B30)))</f>
        <v>0</v>
      </c>
    </row>
    <row r="31" spans="1:9">
      <c r="A31" s="5" t="s">
        <v>136</v>
      </c>
      <c r="B31" s="6">
        <f>"1/1"</f>
        <v>0</v>
      </c>
      <c r="C31" s="8"/>
      <c r="D31" s="9">
        <f>((C31)*(H31)*(I31))/(G31*1)</f>
        <v>0</v>
      </c>
      <c r="E31" s="9">
        <f>D31/10000</f>
        <v>0</v>
      </c>
      <c r="G31" s="10">
        <f>digestion_page!B135</f>
        <v>0</v>
      </c>
      <c r="H31" s="10">
        <f>digestion_page!C135</f>
        <v>0</v>
      </c>
      <c r="I31" s="10">
        <f>(LEFT(B31,FIND("/",B31)-1)/RIGHT(B31,LEN(B31)-FIND("/", B31)))</f>
        <v>0</v>
      </c>
    </row>
    <row r="32" spans="1:9">
      <c r="A32" s="5" t="s">
        <v>137</v>
      </c>
      <c r="B32" s="6">
        <f>"1/1"</f>
        <v>0</v>
      </c>
      <c r="C32" s="8"/>
      <c r="D32" s="9">
        <f>((C32)*(H32)*(I32))/(G32*1)</f>
        <v>0</v>
      </c>
      <c r="E32" s="9">
        <f>D32/10000</f>
        <v>0</v>
      </c>
      <c r="G32" s="10">
        <f>digestion_page!B136</f>
        <v>0</v>
      </c>
      <c r="H32" s="10">
        <f>digestion_page!C136</f>
        <v>0</v>
      </c>
      <c r="I32" s="10">
        <f>(LEFT(B32,FIND("/",B32)-1)/RIGHT(B32,LEN(B32)-FIND("/", B32)))</f>
        <v>0</v>
      </c>
    </row>
    <row r="33" spans="1:9">
      <c r="A33" s="5" t="s">
        <v>138</v>
      </c>
      <c r="B33" s="6">
        <f>"1/1"</f>
        <v>0</v>
      </c>
      <c r="C33" s="8"/>
      <c r="D33" s="9">
        <f>((C33)*(H33)*(I33))/(G33*1)</f>
        <v>0</v>
      </c>
      <c r="E33" s="9">
        <f>D33/10000</f>
        <v>0</v>
      </c>
      <c r="G33" s="10">
        <f>digestion_page!B137</f>
        <v>0</v>
      </c>
      <c r="H33" s="10">
        <f>digestion_page!C137</f>
        <v>0</v>
      </c>
      <c r="I33" s="10">
        <f>(LEFT(B33,FIND("/",B33)-1)/RIGHT(B33,LEN(B33)-FIND("/", B33)))</f>
        <v>0</v>
      </c>
    </row>
    <row r="34" spans="1:9">
      <c r="A34" s="5" t="s">
        <v>139</v>
      </c>
      <c r="B34" s="6">
        <f>"1/1"</f>
        <v>0</v>
      </c>
      <c r="C34" s="8"/>
      <c r="D34" s="9">
        <f>((C34)*(H34)*(I34))/(G34*1)</f>
        <v>0</v>
      </c>
      <c r="E34" s="9">
        <f>D34/10000</f>
        <v>0</v>
      </c>
      <c r="G34" s="10">
        <f>digestion_page!B138</f>
        <v>0</v>
      </c>
      <c r="H34" s="10">
        <f>digestion_page!C138</f>
        <v>0</v>
      </c>
      <c r="I34" s="10">
        <f>(LEFT(B34,FIND("/",B34)-1)/RIGHT(B34,LEN(B34)-FIND("/", B34)))</f>
        <v>0</v>
      </c>
    </row>
    <row r="35" spans="1:9">
      <c r="A35" s="5" t="s">
        <v>140</v>
      </c>
      <c r="B35" s="6">
        <f>"1/1"</f>
        <v>0</v>
      </c>
      <c r="C35" s="8"/>
      <c r="D35" s="9">
        <f>((C35)*(H35)*(I35))/(G35*1)</f>
        <v>0</v>
      </c>
      <c r="E35" s="9">
        <f>D35/10000</f>
        <v>0</v>
      </c>
      <c r="G35" s="10">
        <f>digestion_page!B139</f>
        <v>0</v>
      </c>
      <c r="H35" s="10">
        <f>digestion_page!C139</f>
        <v>0</v>
      </c>
      <c r="I35" s="10">
        <f>(LEFT(B35,FIND("/",B35)-1)/RIGHT(B35,LEN(B35)-FIND("/", B35)))</f>
        <v>0</v>
      </c>
    </row>
    <row r="36" spans="1:9">
      <c r="A36" s="5" t="s">
        <v>141</v>
      </c>
      <c r="B36" s="6">
        <f>"1/1"</f>
        <v>0</v>
      </c>
      <c r="C36" s="8"/>
      <c r="D36" s="9">
        <f>((C36)*(H36)*(I36))/(G36*1)</f>
        <v>0</v>
      </c>
      <c r="E36" s="9">
        <f>D36/10000</f>
        <v>0</v>
      </c>
      <c r="G36" s="10">
        <f>digestion_page!B140</f>
        <v>0</v>
      </c>
      <c r="H36" s="10">
        <f>digestion_page!C140</f>
        <v>0</v>
      </c>
      <c r="I36" s="10">
        <f>(LEFT(B36,FIND("/",B36)-1)/RIGHT(B36,LEN(B36)-FIND("/", B36)))</f>
        <v>0</v>
      </c>
    </row>
    <row r="37" spans="1:9">
      <c r="A37" s="5" t="s">
        <v>142</v>
      </c>
      <c r="B37" s="6">
        <f>"1/1"</f>
        <v>0</v>
      </c>
      <c r="C37" s="8"/>
      <c r="D37" s="9">
        <f>((C37)*(H37)*(I37))/(G37*1)</f>
        <v>0</v>
      </c>
      <c r="E37" s="9">
        <f>D37/10000</f>
        <v>0</v>
      </c>
      <c r="G37" s="10">
        <f>digestion_page!B141</f>
        <v>0</v>
      </c>
      <c r="H37" s="10">
        <f>digestion_page!C141</f>
        <v>0</v>
      </c>
      <c r="I37" s="10">
        <f>(LEFT(B37,FIND("/",B37)-1)/RIGHT(B37,LEN(B37)-FIND("/", B37)))</f>
        <v>0</v>
      </c>
    </row>
    <row r="38" spans="1:9">
      <c r="A38" s="5" t="s">
        <v>143</v>
      </c>
      <c r="B38" s="6">
        <f>"1/1"</f>
        <v>0</v>
      </c>
      <c r="C38" s="8"/>
      <c r="D38" s="9">
        <f>((C38)*(H38)*(I38))/(G38*1)</f>
        <v>0</v>
      </c>
      <c r="E38" s="9">
        <f>D38/10000</f>
        <v>0</v>
      </c>
      <c r="G38" s="10">
        <f>digestion_page!B142</f>
        <v>0</v>
      </c>
      <c r="H38" s="10">
        <f>digestion_page!C142</f>
        <v>0</v>
      </c>
      <c r="I38" s="10">
        <f>(LEFT(B38,FIND("/",B38)-1)/RIGHT(B38,LEN(B38)-FIND("/", B38)))</f>
        <v>0</v>
      </c>
    </row>
    <row r="39" spans="1:9">
      <c r="A39" s="5" t="s">
        <v>144</v>
      </c>
      <c r="B39" s="6">
        <f>"1/1"</f>
        <v>0</v>
      </c>
      <c r="C39" s="8"/>
      <c r="D39" s="9">
        <f>((C39)*(H39)*(I39))/(G39*1)</f>
        <v>0</v>
      </c>
      <c r="E39" s="9">
        <f>D39/10000</f>
        <v>0</v>
      </c>
      <c r="G39" s="10">
        <f>digestion_page!B143</f>
        <v>0</v>
      </c>
      <c r="H39" s="10">
        <f>digestion_page!C143</f>
        <v>0</v>
      </c>
      <c r="I39" s="10">
        <f>(LEFT(B39,FIND("/",B39)-1)/RIGHT(B39,LEN(B39)-FIND("/", B39)))</f>
        <v>0</v>
      </c>
    </row>
    <row r="40" spans="1:9">
      <c r="A40" s="5" t="s">
        <v>145</v>
      </c>
      <c r="B40" s="6">
        <f>"1/1"</f>
        <v>0</v>
      </c>
      <c r="C40" s="8"/>
      <c r="D40" s="9">
        <f>((C40)*(H40)*(I40))/(G40*1)</f>
        <v>0</v>
      </c>
      <c r="E40" s="9">
        <f>D40/10000</f>
        <v>0</v>
      </c>
      <c r="G40" s="10">
        <f>digestion_page!B144</f>
        <v>0</v>
      </c>
      <c r="H40" s="10">
        <f>digestion_page!C144</f>
        <v>0</v>
      </c>
      <c r="I40" s="10">
        <f>(LEFT(B40,FIND("/",B40)-1)/RIGHT(B40,LEN(B40)-FIND("/", B40)))</f>
        <v>0</v>
      </c>
    </row>
    <row r="41" spans="1:9">
      <c r="A41" s="5" t="s">
        <v>146</v>
      </c>
      <c r="B41" s="6">
        <f>"1/1"</f>
        <v>0</v>
      </c>
      <c r="C41" s="8"/>
      <c r="D41" s="9">
        <f>((C41)*(H41)*(I41))/(G41*1)</f>
        <v>0</v>
      </c>
      <c r="E41" s="9">
        <f>D41/10000</f>
        <v>0</v>
      </c>
      <c r="G41" s="10">
        <f>digestion_page!B145</f>
        <v>0</v>
      </c>
      <c r="H41" s="10">
        <f>digestion_page!C145</f>
        <v>0</v>
      </c>
      <c r="I41" s="10">
        <f>(LEFT(B41,FIND("/",B41)-1)/RIGHT(B41,LEN(B41)-FIND("/", B41)))</f>
        <v>0</v>
      </c>
    </row>
    <row r="42" spans="1:9">
      <c r="A42" s="5" t="s">
        <v>147</v>
      </c>
      <c r="B42" s="6">
        <f>"1/1"</f>
        <v>0</v>
      </c>
      <c r="C42" s="8"/>
      <c r="D42" s="9">
        <f>((C42)*(H42)*(I42))/(G42*1)</f>
        <v>0</v>
      </c>
      <c r="E42" s="9">
        <f>D42/10000</f>
        <v>0</v>
      </c>
      <c r="G42" s="10">
        <f>digestion_page!B146</f>
        <v>0</v>
      </c>
      <c r="H42" s="10">
        <f>digestion_page!C146</f>
        <v>0</v>
      </c>
      <c r="I42" s="10">
        <f>(LEFT(B42,FIND("/",B42)-1)/RIGHT(B42,LEN(B42)-FIND("/", B42)))</f>
        <v>0</v>
      </c>
    </row>
    <row r="43" spans="1:9">
      <c r="A43" s="5" t="s">
        <v>148</v>
      </c>
      <c r="B43" s="6">
        <f>"1/1"</f>
        <v>0</v>
      </c>
      <c r="C43" s="8"/>
      <c r="D43" s="9">
        <f>((C43)*(H43)*(I43))/(G43*1)</f>
        <v>0</v>
      </c>
      <c r="E43" s="9">
        <f>D43/10000</f>
        <v>0</v>
      </c>
      <c r="G43" s="10">
        <f>digestion_page!B147</f>
        <v>0</v>
      </c>
      <c r="H43" s="10">
        <f>digestion_page!C147</f>
        <v>0</v>
      </c>
      <c r="I43" s="10">
        <f>(LEFT(B43,FIND("/",B43)-1)/RIGHT(B43,LEN(B43)-FIND("/", B43)))</f>
        <v>0</v>
      </c>
    </row>
    <row r="44" spans="1:9">
      <c r="A44" s="5" t="s">
        <v>149</v>
      </c>
      <c r="B44" s="6">
        <f>"1/1"</f>
        <v>0</v>
      </c>
      <c r="C44" s="8"/>
      <c r="D44" s="9">
        <f>((C44)*(H44)*(I44))/(G44*1)</f>
        <v>0</v>
      </c>
      <c r="E44" s="9">
        <f>D44/10000</f>
        <v>0</v>
      </c>
      <c r="G44" s="10">
        <f>digestion_page!B148</f>
        <v>0</v>
      </c>
      <c r="H44" s="10">
        <f>digestion_page!C148</f>
        <v>0</v>
      </c>
      <c r="I44" s="10">
        <f>(LEFT(B44,FIND("/",B44)-1)/RIGHT(B44,LEN(B44)-FIND("/", B44)))</f>
        <v>0</v>
      </c>
    </row>
    <row r="45" spans="1:9">
      <c r="A45" s="5" t="s">
        <v>150</v>
      </c>
      <c r="B45" s="6">
        <f>"1/1"</f>
        <v>0</v>
      </c>
      <c r="C45" s="8"/>
      <c r="D45" s="9">
        <f>((C45)*(H45)*(I45))/(G45*1)</f>
        <v>0</v>
      </c>
      <c r="E45" s="9">
        <f>D45/10000</f>
        <v>0</v>
      </c>
      <c r="G45" s="10">
        <f>digestion_page!B149</f>
        <v>0</v>
      </c>
      <c r="H45" s="10">
        <f>digestion_page!C149</f>
        <v>0</v>
      </c>
      <c r="I45" s="10">
        <f>(LEFT(B45,FIND("/",B45)-1)/RIGHT(B45,LEN(B45)-FIND("/", B45)))</f>
        <v>0</v>
      </c>
    </row>
    <row r="46" spans="1:9">
      <c r="A46" s="5" t="s">
        <v>151</v>
      </c>
      <c r="B46" s="6">
        <f>"1/1"</f>
        <v>0</v>
      </c>
      <c r="C46" s="8"/>
      <c r="D46" s="9">
        <f>((C46)*(H46)*(I46))/(G46*1)</f>
        <v>0</v>
      </c>
      <c r="E46" s="9">
        <f>D46/10000</f>
        <v>0</v>
      </c>
      <c r="G46" s="10">
        <f>digestion_page!B150</f>
        <v>0</v>
      </c>
      <c r="H46" s="10">
        <f>digestion_page!C150</f>
        <v>0</v>
      </c>
      <c r="I46" s="10">
        <f>(LEFT(B46,FIND("/",B46)-1)/RIGHT(B46,LEN(B46)-FIND("/", B46)))</f>
        <v>0</v>
      </c>
    </row>
    <row r="47" spans="1:9">
      <c r="A47" s="5" t="s">
        <v>152</v>
      </c>
      <c r="B47" s="6">
        <f>"1/1"</f>
        <v>0</v>
      </c>
      <c r="C47" s="8"/>
      <c r="D47" s="9">
        <f>((C47)*(H47)*(I47))/(G47*1)</f>
        <v>0</v>
      </c>
      <c r="E47" s="9">
        <f>D47/10000</f>
        <v>0</v>
      </c>
      <c r="G47" s="10">
        <f>digestion_page!B151</f>
        <v>0</v>
      </c>
      <c r="H47" s="10">
        <f>digestion_page!C151</f>
        <v>0</v>
      </c>
      <c r="I47" s="10">
        <f>(LEFT(B47,FIND("/",B47)-1)/RIGHT(B47,LEN(B47)-FIND("/", B47)))</f>
        <v>0</v>
      </c>
    </row>
    <row r="48" spans="1:9">
      <c r="A48" s="5" t="s">
        <v>153</v>
      </c>
      <c r="B48" s="6">
        <f>"1/1"</f>
        <v>0</v>
      </c>
      <c r="C48" s="8"/>
      <c r="D48" s="9">
        <f>((C48)*(H48)*(I48))/(G48*1)</f>
        <v>0</v>
      </c>
      <c r="E48" s="9">
        <f>D48/10000</f>
        <v>0</v>
      </c>
      <c r="G48" s="10">
        <f>digestion_page!B152</f>
        <v>0</v>
      </c>
      <c r="H48" s="10">
        <f>digestion_page!C152</f>
        <v>0</v>
      </c>
      <c r="I48" s="10">
        <f>(LEFT(B48,FIND("/",B48)-1)/RIGHT(B48,LEN(B48)-FIND("/", B48)))</f>
        <v>0</v>
      </c>
    </row>
    <row r="49" spans="1:9">
      <c r="A49" s="5" t="s">
        <v>154</v>
      </c>
      <c r="B49" s="6">
        <f>"1/1"</f>
        <v>0</v>
      </c>
      <c r="C49" s="8"/>
      <c r="D49" s="9">
        <f>((C49)*(H49)*(I49))/(G49*1)</f>
        <v>0</v>
      </c>
      <c r="E49" s="9">
        <f>D49/10000</f>
        <v>0</v>
      </c>
      <c r="G49" s="10">
        <f>digestion_page!B153</f>
        <v>0</v>
      </c>
      <c r="H49" s="10">
        <f>digestion_page!C153</f>
        <v>0</v>
      </c>
      <c r="I49" s="10">
        <f>(LEFT(B49,FIND("/",B49)-1)/RIGHT(B49,LEN(B49)-FIND("/", B49)))</f>
        <v>0</v>
      </c>
    </row>
    <row r="50" spans="1:9">
      <c r="A50" s="5" t="s">
        <v>155</v>
      </c>
      <c r="B50" s="6">
        <f>"1/1"</f>
        <v>0</v>
      </c>
      <c r="C50" s="8"/>
      <c r="D50" s="9">
        <f>((C50)*(H50)*(I50))/(G50*1)</f>
        <v>0</v>
      </c>
      <c r="E50" s="9">
        <f>D50/10000</f>
        <v>0</v>
      </c>
      <c r="G50" s="10">
        <f>digestion_page!B154</f>
        <v>0</v>
      </c>
      <c r="H50" s="10">
        <f>digestion_page!C154</f>
        <v>0</v>
      </c>
      <c r="I50" s="10">
        <f>(LEFT(B50,FIND("/",B50)-1)/RIGHT(B50,LEN(B50)-FIND("/", B50)))</f>
        <v>0</v>
      </c>
    </row>
    <row r="51" spans="1:9">
      <c r="A51" s="5" t="s">
        <v>156</v>
      </c>
      <c r="B51" s="6">
        <f>"1/1"</f>
        <v>0</v>
      </c>
      <c r="C51" s="8"/>
      <c r="D51" s="9">
        <f>((C51)*(H51)*(I51))/(G51*1)</f>
        <v>0</v>
      </c>
      <c r="E51" s="9">
        <f>D51/10000</f>
        <v>0</v>
      </c>
      <c r="G51" s="10">
        <f>digestion_page!B155</f>
        <v>0</v>
      </c>
      <c r="H51" s="10">
        <f>digestion_page!C155</f>
        <v>0</v>
      </c>
      <c r="I51" s="10">
        <f>(LEFT(B51,FIND("/",B51)-1)/RIGHT(B51,LEN(B51)-FIND("/", B51)))</f>
        <v>0</v>
      </c>
    </row>
    <row r="52" spans="1:9">
      <c r="A52" s="5" t="s">
        <v>157</v>
      </c>
      <c r="B52" s="6">
        <f>"1/1"</f>
        <v>0</v>
      </c>
      <c r="C52" s="8"/>
      <c r="D52" s="9">
        <f>((C52)*(H52)*(I52))/(G52*1)</f>
        <v>0</v>
      </c>
      <c r="E52" s="9">
        <f>D52/10000</f>
        <v>0</v>
      </c>
      <c r="G52" s="10">
        <f>digestion_page!B156</f>
        <v>0</v>
      </c>
      <c r="H52" s="10">
        <f>digestion_page!C156</f>
        <v>0</v>
      </c>
      <c r="I52" s="10">
        <f>(LEFT(B52,FIND("/",B52)-1)/RIGHT(B52,LEN(B52)-FIND("/", B52)))</f>
        <v>0</v>
      </c>
    </row>
    <row r="53" spans="1:9">
      <c r="A53" s="5" t="s">
        <v>158</v>
      </c>
      <c r="B53" s="6">
        <f>"1/1"</f>
        <v>0</v>
      </c>
      <c r="C53" s="8"/>
      <c r="D53" s="9">
        <f>((C53)*(H53)*(I53))/(G53*1)</f>
        <v>0</v>
      </c>
      <c r="E53" s="9">
        <f>D53/10000</f>
        <v>0</v>
      </c>
      <c r="G53" s="10">
        <f>digestion_page!B157</f>
        <v>0</v>
      </c>
      <c r="H53" s="10">
        <f>digestion_page!C157</f>
        <v>0</v>
      </c>
      <c r="I53" s="10">
        <f>(LEFT(B53,FIND("/",B53)-1)/RIGHT(B53,LEN(B53)-FIND("/", B53)))</f>
        <v>0</v>
      </c>
    </row>
    <row r="54" spans="1:9">
      <c r="A54" s="5" t="s">
        <v>159</v>
      </c>
      <c r="B54" s="6">
        <f>"1/1"</f>
        <v>0</v>
      </c>
      <c r="C54" s="8"/>
      <c r="D54" s="9">
        <f>((C54)*(H54)*(I54))/(G54*1)</f>
        <v>0</v>
      </c>
      <c r="E54" s="9">
        <f>D54/10000</f>
        <v>0</v>
      </c>
      <c r="G54" s="10">
        <f>digestion_page!B158</f>
        <v>0</v>
      </c>
      <c r="H54" s="10">
        <f>digestion_page!C158</f>
        <v>0</v>
      </c>
      <c r="I54" s="10">
        <f>(LEFT(B54,FIND("/",B54)-1)/RIGHT(B54,LEN(B54)-FIND("/", B54)))</f>
        <v>0</v>
      </c>
    </row>
    <row r="55" spans="1:9">
      <c r="A55" s="5" t="s">
        <v>160</v>
      </c>
      <c r="B55" s="6">
        <f>"1/1"</f>
        <v>0</v>
      </c>
      <c r="C55" s="8"/>
      <c r="D55" s="9">
        <f>((C55)*(H55)*(I55))/(G55*1)</f>
        <v>0</v>
      </c>
      <c r="E55" s="9">
        <f>D55/10000</f>
        <v>0</v>
      </c>
      <c r="G55" s="10">
        <f>digestion_page!B159</f>
        <v>0</v>
      </c>
      <c r="H55" s="10">
        <f>digestion_page!C159</f>
        <v>0</v>
      </c>
      <c r="I55" s="10">
        <f>(LEFT(B55,FIND("/",B55)-1)/RIGHT(B55,LEN(B55)-FIND("/", B55)))</f>
        <v>0</v>
      </c>
    </row>
    <row r="56" spans="1:9">
      <c r="A56" s="5" t="s">
        <v>161</v>
      </c>
      <c r="B56" s="6">
        <f>"1/1"</f>
        <v>0</v>
      </c>
      <c r="C56" s="8"/>
      <c r="D56" s="9">
        <f>((C56)*(H56)*(I56))/(G56*1)</f>
        <v>0</v>
      </c>
      <c r="E56" s="9">
        <f>D56/10000</f>
        <v>0</v>
      </c>
      <c r="G56" s="10">
        <f>digestion_page!B160</f>
        <v>0</v>
      </c>
      <c r="H56" s="10">
        <f>digestion_page!C160</f>
        <v>0</v>
      </c>
      <c r="I56" s="10">
        <f>(LEFT(B56,FIND("/",B56)-1)/RIGHT(B56,LEN(B56)-FIND("/", B56)))</f>
        <v>0</v>
      </c>
    </row>
    <row r="57" spans="1:9">
      <c r="A57" s="5" t="s">
        <v>162</v>
      </c>
      <c r="B57" s="6">
        <f>"1/1"</f>
        <v>0</v>
      </c>
      <c r="C57" s="8"/>
      <c r="D57" s="9">
        <f>((C57)*(H57)*(I57))/(G57*1)</f>
        <v>0</v>
      </c>
      <c r="E57" s="9">
        <f>D57/10000</f>
        <v>0</v>
      </c>
      <c r="G57" s="10">
        <f>digestion_page!B161</f>
        <v>0</v>
      </c>
      <c r="H57" s="10">
        <f>digestion_page!C161</f>
        <v>0</v>
      </c>
      <c r="I57" s="10">
        <f>(LEFT(B57,FIND("/",B57)-1)/RIGHT(B57,LEN(B57)-FIND("/", B57)))</f>
        <v>0</v>
      </c>
    </row>
    <row r="58" spans="1:9">
      <c r="A58" s="5" t="s">
        <v>163</v>
      </c>
      <c r="B58" s="6">
        <f>"1/1"</f>
        <v>0</v>
      </c>
      <c r="C58" s="8"/>
      <c r="D58" s="9">
        <f>((C58)*(H58)*(I58))/(G58*1)</f>
        <v>0</v>
      </c>
      <c r="E58" s="9">
        <f>D58/10000</f>
        <v>0</v>
      </c>
      <c r="G58" s="10">
        <f>digestion_page!B162</f>
        <v>0</v>
      </c>
      <c r="H58" s="10">
        <f>digestion_page!C162</f>
        <v>0</v>
      </c>
      <c r="I58" s="10">
        <f>(LEFT(B58,FIND("/",B58)-1)/RIGHT(B58,LEN(B58)-FIND("/", B58)))</f>
        <v>0</v>
      </c>
    </row>
    <row r="59" spans="1:9">
      <c r="A59" s="5" t="s">
        <v>164</v>
      </c>
      <c r="B59" s="6">
        <f>"1/1"</f>
        <v>0</v>
      </c>
      <c r="C59" s="8"/>
      <c r="D59" s="9">
        <f>((C59)*(H59)*(I59))/(G59*1)</f>
        <v>0</v>
      </c>
      <c r="E59" s="9">
        <f>D59/10000</f>
        <v>0</v>
      </c>
      <c r="G59" s="10">
        <f>digestion_page!B163</f>
        <v>0</v>
      </c>
      <c r="H59" s="10">
        <f>digestion_page!C163</f>
        <v>0</v>
      </c>
      <c r="I59" s="10">
        <f>(LEFT(B59,FIND("/",B59)-1)/RIGHT(B59,LEN(B59)-FIND("/", B59)))</f>
        <v>0</v>
      </c>
    </row>
    <row r="60" spans="1:9">
      <c r="A60" s="5" t="s">
        <v>165</v>
      </c>
      <c r="B60" s="6">
        <f>"1/1"</f>
        <v>0</v>
      </c>
      <c r="C60" s="8"/>
      <c r="D60" s="9">
        <f>((C60)*(H60)*(I60))/(G60*1)</f>
        <v>0</v>
      </c>
      <c r="E60" s="9">
        <f>D60/10000</f>
        <v>0</v>
      </c>
      <c r="G60" s="10">
        <f>digestion_page!B164</f>
        <v>0</v>
      </c>
      <c r="H60" s="10">
        <f>digestion_page!C164</f>
        <v>0</v>
      </c>
      <c r="I60" s="10">
        <f>(LEFT(B60,FIND("/",B60)-1)/RIGHT(B60,LEN(B60)-FIND("/", B60)))</f>
        <v>0</v>
      </c>
    </row>
    <row r="61" spans="1:9">
      <c r="A61" s="5" t="s">
        <v>166</v>
      </c>
      <c r="B61" s="6">
        <f>"1/1"</f>
        <v>0</v>
      </c>
      <c r="C61" s="8"/>
      <c r="D61" s="9">
        <f>((C61)*(H61)*(I61))/(G61*1)</f>
        <v>0</v>
      </c>
      <c r="E61" s="9">
        <f>D61/10000</f>
        <v>0</v>
      </c>
      <c r="G61" s="10">
        <f>digestion_page!B165</f>
        <v>0</v>
      </c>
      <c r="H61" s="10">
        <f>digestion_page!C165</f>
        <v>0</v>
      </c>
      <c r="I61" s="10">
        <f>(LEFT(B61,FIND("/",B61)-1)/RIGHT(B61,LEN(B61)-FIND("/", B61)))</f>
        <v>0</v>
      </c>
    </row>
    <row r="62" spans="1:9">
      <c r="A62" s="5" t="s">
        <v>167</v>
      </c>
      <c r="B62" s="6">
        <f>"1/1"</f>
        <v>0</v>
      </c>
      <c r="C62" s="8"/>
      <c r="D62" s="9">
        <f>((C62)*(H62)*(I62))/(G62*1)</f>
        <v>0</v>
      </c>
      <c r="E62" s="9">
        <f>D62/10000</f>
        <v>0</v>
      </c>
      <c r="G62" s="10">
        <f>digestion_page!B166</f>
        <v>0</v>
      </c>
      <c r="H62" s="10">
        <f>digestion_page!C166</f>
        <v>0</v>
      </c>
      <c r="I62" s="10">
        <f>(LEFT(B62,FIND("/",B62)-1)/RIGHT(B62,LEN(B62)-FIND("/", B62)))</f>
        <v>0</v>
      </c>
    </row>
    <row r="63" spans="1:9">
      <c r="A63" s="5" t="s">
        <v>168</v>
      </c>
      <c r="B63" s="6">
        <f>"1/1"</f>
        <v>0</v>
      </c>
      <c r="C63" s="8"/>
      <c r="D63" s="9">
        <f>((C63)*(H63)*(I63))/(G63*1)</f>
        <v>0</v>
      </c>
      <c r="E63" s="9">
        <f>D63/10000</f>
        <v>0</v>
      </c>
      <c r="G63" s="10">
        <f>digestion_page!B167</f>
        <v>0</v>
      </c>
      <c r="H63" s="10">
        <f>digestion_page!C167</f>
        <v>0</v>
      </c>
      <c r="I63" s="10">
        <f>(LEFT(B63,FIND("/",B63)-1)/RIGHT(B63,LEN(B63)-FIND("/", B63)))</f>
        <v>0</v>
      </c>
    </row>
    <row r="64" spans="1:9">
      <c r="A64" s="5" t="s">
        <v>169</v>
      </c>
      <c r="B64" s="6">
        <f>"1/1"</f>
        <v>0</v>
      </c>
      <c r="C64" s="8"/>
      <c r="D64" s="9">
        <f>((C64)*(H64)*(I64))/(G64*1)</f>
        <v>0</v>
      </c>
      <c r="E64" s="9">
        <f>D64/10000</f>
        <v>0</v>
      </c>
      <c r="G64" s="10">
        <f>digestion_page!B168</f>
        <v>0</v>
      </c>
      <c r="H64" s="10">
        <f>digestion_page!C168</f>
        <v>0</v>
      </c>
      <c r="I64" s="10">
        <f>(LEFT(B64,FIND("/",B64)-1)/RIGHT(B64,LEN(B64)-FIND("/", B64)))</f>
        <v>0</v>
      </c>
    </row>
    <row r="65" spans="1:9">
      <c r="A65" s="5" t="s">
        <v>170</v>
      </c>
      <c r="B65" s="6">
        <f>"1/1"</f>
        <v>0</v>
      </c>
      <c r="C65" s="8"/>
      <c r="D65" s="9">
        <f>((C65)*(H65)*(I65))/(G65*1)</f>
        <v>0</v>
      </c>
      <c r="E65" s="9">
        <f>D65/10000</f>
        <v>0</v>
      </c>
      <c r="G65" s="10">
        <f>digestion_page!B169</f>
        <v>0</v>
      </c>
      <c r="H65" s="10">
        <f>digestion_page!C169</f>
        <v>0</v>
      </c>
      <c r="I65" s="10">
        <f>(LEFT(B65,FIND("/",B65)-1)/RIGHT(B65,LEN(B65)-FIND("/", B65)))</f>
        <v>0</v>
      </c>
    </row>
    <row r="66" spans="1:9">
      <c r="A66" s="5" t="s">
        <v>171</v>
      </c>
      <c r="B66" s="6">
        <f>"1/1"</f>
        <v>0</v>
      </c>
      <c r="C66" s="8"/>
      <c r="D66" s="9">
        <f>((C66)*(H66)*(I66))/(G66*1)</f>
        <v>0</v>
      </c>
      <c r="E66" s="9">
        <f>D66/10000</f>
        <v>0</v>
      </c>
      <c r="G66" s="10">
        <f>digestion_page!B170</f>
        <v>0</v>
      </c>
      <c r="H66" s="10">
        <f>digestion_page!C170</f>
        <v>0</v>
      </c>
      <c r="I66" s="10">
        <f>(LEFT(B66,FIND("/",B66)-1)/RIGHT(B66,LEN(B66)-FIND("/", B66)))</f>
        <v>0</v>
      </c>
    </row>
    <row r="67" spans="1:9">
      <c r="A67" s="5" t="s">
        <v>172</v>
      </c>
      <c r="B67" s="6">
        <f>"1/1"</f>
        <v>0</v>
      </c>
      <c r="C67" s="8"/>
      <c r="D67" s="9">
        <f>((C67)*(H67)*(I67))/(G67*1)</f>
        <v>0</v>
      </c>
      <c r="E67" s="9">
        <f>D67/10000</f>
        <v>0</v>
      </c>
      <c r="G67" s="10">
        <f>digestion_page!B171</f>
        <v>0</v>
      </c>
      <c r="H67" s="10">
        <f>digestion_page!C171</f>
        <v>0</v>
      </c>
      <c r="I67" s="10">
        <f>(LEFT(B67,FIND("/",B67)-1)/RIGHT(B67,LEN(B67)-FIND("/", B67)))</f>
        <v>0</v>
      </c>
    </row>
    <row r="68" spans="1:9">
      <c r="A68" s="5" t="s">
        <v>173</v>
      </c>
      <c r="B68" s="6">
        <f>"1/1"</f>
        <v>0</v>
      </c>
      <c r="C68" s="8"/>
      <c r="D68" s="9">
        <f>((C68)*(H68)*(I68))/(G68*1)</f>
        <v>0</v>
      </c>
      <c r="E68" s="9">
        <f>D68/10000</f>
        <v>0</v>
      </c>
      <c r="G68" s="10">
        <f>digestion_page!B172</f>
        <v>0</v>
      </c>
      <c r="H68" s="10">
        <f>digestion_page!C172</f>
        <v>0</v>
      </c>
      <c r="I68" s="10">
        <f>(LEFT(B68,FIND("/",B68)-1)/RIGHT(B68,LEN(B68)-FIND("/", B68)))</f>
        <v>0</v>
      </c>
    </row>
    <row r="69" spans="1:9">
      <c r="A69" s="5" t="s">
        <v>174</v>
      </c>
      <c r="B69" s="6">
        <f>"1/1"</f>
        <v>0</v>
      </c>
      <c r="C69" s="8"/>
      <c r="D69" s="9">
        <f>((C69)*(H69)*(I69))/(G69*1)</f>
        <v>0</v>
      </c>
      <c r="E69" s="9">
        <f>D69/10000</f>
        <v>0</v>
      </c>
      <c r="G69" s="10">
        <f>digestion_page!B173</f>
        <v>0</v>
      </c>
      <c r="H69" s="10">
        <f>digestion_page!C173</f>
        <v>0</v>
      </c>
      <c r="I69" s="10">
        <f>(LEFT(B69,FIND("/",B69)-1)/RIGHT(B69,LEN(B69)-FIND("/", B69)))</f>
        <v>0</v>
      </c>
    </row>
    <row r="70" spans="1:9">
      <c r="A70" s="5" t="s">
        <v>175</v>
      </c>
      <c r="B70" s="6">
        <f>"1/1"</f>
        <v>0</v>
      </c>
      <c r="C70" s="8"/>
      <c r="D70" s="9">
        <f>((C70)*(H70)*(I70))/(G70*1)</f>
        <v>0</v>
      </c>
      <c r="E70" s="9">
        <f>D70/10000</f>
        <v>0</v>
      </c>
      <c r="G70" s="10">
        <f>digestion_page!B174</f>
        <v>0</v>
      </c>
      <c r="H70" s="10">
        <f>digestion_page!C174</f>
        <v>0</v>
      </c>
      <c r="I70" s="10">
        <f>(LEFT(B70,FIND("/",B70)-1)/RIGHT(B70,LEN(B70)-FIND("/", B70)))</f>
        <v>0</v>
      </c>
    </row>
    <row r="71" spans="1:9">
      <c r="A71" s="5" t="s">
        <v>176</v>
      </c>
      <c r="B71" s="6">
        <f>"1/1"</f>
        <v>0</v>
      </c>
      <c r="C71" s="8"/>
      <c r="D71" s="9">
        <f>((C71)*(H71)*(I71))/(G71*1)</f>
        <v>0</v>
      </c>
      <c r="E71" s="9">
        <f>D71/10000</f>
        <v>0</v>
      </c>
      <c r="G71" s="10">
        <f>digestion_page!B175</f>
        <v>0</v>
      </c>
      <c r="H71" s="10">
        <f>digestion_page!C175</f>
        <v>0</v>
      </c>
      <c r="I71" s="10">
        <f>(LEFT(B71,FIND("/",B71)-1)/RIGHT(B71,LEN(B71)-FIND("/", B71)))</f>
        <v>0</v>
      </c>
    </row>
    <row r="72" spans="1:9">
      <c r="A72" s="5" t="s">
        <v>177</v>
      </c>
      <c r="B72" s="6">
        <f>"1/1"</f>
        <v>0</v>
      </c>
      <c r="C72" s="8"/>
      <c r="D72" s="9">
        <f>((C72)*(H72)*(I72))/(G72*1)</f>
        <v>0</v>
      </c>
      <c r="E72" s="9">
        <f>D72/10000</f>
        <v>0</v>
      </c>
      <c r="G72" s="10">
        <f>digestion_page!B176</f>
        <v>0</v>
      </c>
      <c r="H72" s="10">
        <f>digestion_page!C176</f>
        <v>0</v>
      </c>
      <c r="I72" s="10">
        <f>(LEFT(B72,FIND("/",B72)-1)/RIGHT(B72,LEN(B72)-FIND("/", B72)))</f>
        <v>0</v>
      </c>
    </row>
    <row r="73" spans="1:9">
      <c r="A73" s="5" t="s">
        <v>178</v>
      </c>
      <c r="B73" s="6">
        <f>"1/1"</f>
        <v>0</v>
      </c>
      <c r="C73" s="8"/>
      <c r="D73" s="9">
        <f>((C73)*(H73)*(I73))/(G73*1)</f>
        <v>0</v>
      </c>
      <c r="E73" s="9">
        <f>D73/10000</f>
        <v>0</v>
      </c>
      <c r="G73" s="10">
        <f>digestion_page!B177</f>
        <v>0</v>
      </c>
      <c r="H73" s="10">
        <f>digestion_page!C177</f>
        <v>0</v>
      </c>
      <c r="I73" s="10">
        <f>(LEFT(B73,FIND("/",B73)-1)/RIGHT(B73,LEN(B73)-FIND("/", B73)))</f>
        <v>0</v>
      </c>
    </row>
    <row r="74" spans="1:9">
      <c r="A74" s="5" t="s">
        <v>179</v>
      </c>
      <c r="B74" s="6">
        <f>"1/1"</f>
        <v>0</v>
      </c>
      <c r="C74" s="8"/>
      <c r="D74" s="9">
        <f>((C74)*(H74)*(I74))/(G74*1)</f>
        <v>0</v>
      </c>
      <c r="E74" s="9">
        <f>D74/10000</f>
        <v>0</v>
      </c>
      <c r="G74" s="10">
        <f>digestion_page!B178</f>
        <v>0</v>
      </c>
      <c r="H74" s="10">
        <f>digestion_page!C178</f>
        <v>0</v>
      </c>
      <c r="I74" s="10">
        <f>(LEFT(B74,FIND("/",B74)-1)/RIGHT(B74,LEN(B74)-FIND("/", B74)))</f>
        <v>0</v>
      </c>
    </row>
    <row r="75" spans="1:9">
      <c r="A75" s="5" t="s">
        <v>180</v>
      </c>
      <c r="B75" s="6">
        <f>"1/1"</f>
        <v>0</v>
      </c>
      <c r="C75" s="8"/>
      <c r="D75" s="9">
        <f>((C75)*(H75)*(I75))/(G75*1)</f>
        <v>0</v>
      </c>
      <c r="E75" s="9">
        <f>D75/10000</f>
        <v>0</v>
      </c>
      <c r="G75" s="10">
        <f>digestion_page!B179</f>
        <v>0</v>
      </c>
      <c r="H75" s="10">
        <f>digestion_page!C179</f>
        <v>0</v>
      </c>
      <c r="I75" s="10">
        <f>(LEFT(B75,FIND("/",B75)-1)/RIGHT(B75,LEN(B75)-FIND("/", B75)))</f>
        <v>0</v>
      </c>
    </row>
    <row r="76" spans="1:9">
      <c r="A76" s="5" t="s">
        <v>181</v>
      </c>
      <c r="B76" s="6">
        <f>"1/1"</f>
        <v>0</v>
      </c>
      <c r="C76" s="8"/>
      <c r="D76" s="9">
        <f>((C76)*(H76)*(I76))/(G76*1)</f>
        <v>0</v>
      </c>
      <c r="E76" s="9">
        <f>D76/10000</f>
        <v>0</v>
      </c>
      <c r="G76" s="10">
        <f>digestion_page!B180</f>
        <v>0</v>
      </c>
      <c r="H76" s="10">
        <f>digestion_page!C180</f>
        <v>0</v>
      </c>
      <c r="I76" s="10">
        <f>(LEFT(B76,FIND("/",B76)-1)/RIGHT(B76,LEN(B76)-FIND("/", B76)))</f>
        <v>0</v>
      </c>
    </row>
    <row r="77" spans="1:9">
      <c r="A77" s="5" t="s">
        <v>182</v>
      </c>
      <c r="B77" s="6">
        <f>"1/1"</f>
        <v>0</v>
      </c>
      <c r="C77" s="8"/>
      <c r="D77" s="9">
        <f>((C77)*(H77)*(I77))/(G77*1)</f>
        <v>0</v>
      </c>
      <c r="E77" s="9">
        <f>D77/10000</f>
        <v>0</v>
      </c>
      <c r="G77" s="10">
        <f>digestion_page!B181</f>
        <v>0</v>
      </c>
      <c r="H77" s="10">
        <f>digestion_page!C181</f>
        <v>0</v>
      </c>
      <c r="I77" s="10">
        <f>(LEFT(B77,FIND("/",B77)-1)/RIGHT(B77,LEN(B77)-FIND("/", B77)))</f>
        <v>0</v>
      </c>
    </row>
    <row r="78" spans="1:9">
      <c r="A78" s="5" t="s">
        <v>183</v>
      </c>
      <c r="B78" s="6">
        <f>"1/1"</f>
        <v>0</v>
      </c>
      <c r="C78" s="8"/>
      <c r="D78" s="9">
        <f>((C78)*(H78)*(I78))/(G78*1)</f>
        <v>0</v>
      </c>
      <c r="E78" s="9">
        <f>D78/10000</f>
        <v>0</v>
      </c>
      <c r="G78" s="10">
        <f>digestion_page!B182</f>
        <v>0</v>
      </c>
      <c r="H78" s="10">
        <f>digestion_page!C182</f>
        <v>0</v>
      </c>
      <c r="I78" s="10">
        <f>(LEFT(B78,FIND("/",B78)-1)/RIGHT(B78,LEN(B78)-FIND("/", B78)))</f>
        <v>0</v>
      </c>
    </row>
    <row r="79" spans="1:9">
      <c r="A79" s="5" t="s">
        <v>184</v>
      </c>
      <c r="B79" s="6">
        <f>"1/1"</f>
        <v>0</v>
      </c>
      <c r="C79" s="8"/>
      <c r="D79" s="9">
        <f>((C79)*(H79)*(I79))/(G79*1)</f>
        <v>0</v>
      </c>
      <c r="E79" s="9">
        <f>D79/10000</f>
        <v>0</v>
      </c>
      <c r="G79" s="10">
        <f>digestion_page!B183</f>
        <v>0</v>
      </c>
      <c r="H79" s="10">
        <f>digestion_page!C183</f>
        <v>0</v>
      </c>
      <c r="I79" s="10">
        <f>(LEFT(B79,FIND("/",B79)-1)/RIGHT(B79,LEN(B79)-FIND("/", B79)))</f>
        <v>0</v>
      </c>
    </row>
    <row r="80" spans="1:9">
      <c r="A80" s="5" t="s">
        <v>185</v>
      </c>
      <c r="B80" s="6">
        <f>"1/1"</f>
        <v>0</v>
      </c>
      <c r="C80" s="8"/>
      <c r="D80" s="9">
        <f>((C80)*(H80)*(I80))/(G80*1)</f>
        <v>0</v>
      </c>
      <c r="E80" s="9">
        <f>D80/10000</f>
        <v>0</v>
      </c>
      <c r="G80" s="10">
        <f>digestion_page!B184</f>
        <v>0</v>
      </c>
      <c r="H80" s="10">
        <f>digestion_page!C184</f>
        <v>0</v>
      </c>
      <c r="I80" s="10">
        <f>(LEFT(B80,FIND("/",B80)-1)/RIGHT(B80,LEN(B80)-FIND("/", B80)))</f>
        <v>0</v>
      </c>
    </row>
    <row r="81" spans="1:9">
      <c r="A81" s="5" t="s">
        <v>186</v>
      </c>
      <c r="B81" s="6">
        <f>"1/1"</f>
        <v>0</v>
      </c>
      <c r="C81" s="8"/>
      <c r="D81" s="9">
        <f>((C81)*(H81)*(I81))/(G81*1)</f>
        <v>0</v>
      </c>
      <c r="E81" s="9">
        <f>D81/10000</f>
        <v>0</v>
      </c>
      <c r="G81" s="10">
        <f>digestion_page!B185</f>
        <v>0</v>
      </c>
      <c r="H81" s="10">
        <f>digestion_page!C185</f>
        <v>0</v>
      </c>
      <c r="I81" s="10">
        <f>(LEFT(B81,FIND("/",B81)-1)/RIGHT(B81,LEN(B81)-FIND("/", B81)))</f>
        <v>0</v>
      </c>
    </row>
    <row r="82" spans="1:9">
      <c r="A82" s="5" t="s">
        <v>187</v>
      </c>
      <c r="B82" s="6">
        <f>"1/1"</f>
        <v>0</v>
      </c>
      <c r="C82" s="8"/>
      <c r="D82" s="9">
        <f>((C82)*(H82)*(I82))/(G82*1)</f>
        <v>0</v>
      </c>
      <c r="E82" s="9">
        <f>D82/10000</f>
        <v>0</v>
      </c>
      <c r="G82" s="10">
        <f>digestion_page!B186</f>
        <v>0</v>
      </c>
      <c r="H82" s="10">
        <f>digestion_page!C186</f>
        <v>0</v>
      </c>
      <c r="I82" s="10">
        <f>(LEFT(B82,FIND("/",B82)-1)/RIGHT(B82,LEN(B82)-FIND("/", B82)))</f>
        <v>0</v>
      </c>
    </row>
    <row r="83" spans="1:9">
      <c r="A83" s="5" t="s">
        <v>188</v>
      </c>
      <c r="B83" s="6">
        <f>"1/1"</f>
        <v>0</v>
      </c>
      <c r="C83" s="8"/>
      <c r="D83" s="9">
        <f>((C83)*(H83)*(I83))/(G83*1)</f>
        <v>0</v>
      </c>
      <c r="E83" s="9">
        <f>D83/10000</f>
        <v>0</v>
      </c>
      <c r="G83" s="10">
        <f>digestion_page!B187</f>
        <v>0</v>
      </c>
      <c r="H83" s="10">
        <f>digestion_page!C187</f>
        <v>0</v>
      </c>
      <c r="I83" s="10">
        <f>(LEFT(B83,FIND("/",B83)-1)/RIGHT(B83,LEN(B83)-FIND("/", B83)))</f>
        <v>0</v>
      </c>
    </row>
    <row r="84" spans="1:9">
      <c r="A84" s="5" t="s">
        <v>189</v>
      </c>
      <c r="B84" s="6">
        <f>"1/1"</f>
        <v>0</v>
      </c>
      <c r="C84" s="8"/>
      <c r="D84" s="9">
        <f>((C84)*(H84)*(I84))/(G84*1)</f>
        <v>0</v>
      </c>
      <c r="E84" s="9">
        <f>D84/10000</f>
        <v>0</v>
      </c>
      <c r="G84" s="10">
        <f>digestion_page!B188</f>
        <v>0</v>
      </c>
      <c r="H84" s="10">
        <f>digestion_page!C188</f>
        <v>0</v>
      </c>
      <c r="I84" s="10">
        <f>(LEFT(B84,FIND("/",B84)-1)/RIGHT(B84,LEN(B84)-FIND("/", B84)))</f>
        <v>0</v>
      </c>
    </row>
    <row r="85" spans="1:9">
      <c r="A85" s="5" t="s">
        <v>190</v>
      </c>
      <c r="B85" s="6">
        <f>"1/1"</f>
        <v>0</v>
      </c>
      <c r="C85" s="8"/>
      <c r="D85" s="9">
        <f>((C85)*(H85)*(I85))/(G85*1)</f>
        <v>0</v>
      </c>
      <c r="E85" s="9">
        <f>D85/10000</f>
        <v>0</v>
      </c>
      <c r="G85" s="10">
        <f>digestion_page!B189</f>
        <v>0</v>
      </c>
      <c r="H85" s="10">
        <f>digestion_page!C189</f>
        <v>0</v>
      </c>
      <c r="I85" s="10">
        <f>(LEFT(B85,FIND("/",B85)-1)/RIGHT(B85,LEN(B85)-FIND("/", B85)))</f>
        <v>0</v>
      </c>
    </row>
    <row r="86" spans="1:9">
      <c r="A86" s="5" t="s">
        <v>191</v>
      </c>
      <c r="B86" s="6">
        <f>"1/1"</f>
        <v>0</v>
      </c>
      <c r="C86" s="8"/>
      <c r="D86" s="9">
        <f>((C86)*(H86)*(I86))/(G86*1)</f>
        <v>0</v>
      </c>
      <c r="E86" s="9">
        <f>D86/10000</f>
        <v>0</v>
      </c>
      <c r="G86" s="10">
        <f>digestion_page!B190</f>
        <v>0</v>
      </c>
      <c r="H86" s="10">
        <f>digestion_page!C190</f>
        <v>0</v>
      </c>
      <c r="I86" s="10">
        <f>(LEFT(B86,FIND("/",B86)-1)/RIGHT(B86,LEN(B86)-FIND("/", B86)))</f>
        <v>0</v>
      </c>
    </row>
    <row r="87" spans="1:9">
      <c r="A87" s="5" t="s">
        <v>192</v>
      </c>
      <c r="B87" s="6">
        <f>"1/1"</f>
        <v>0</v>
      </c>
      <c r="C87" s="8"/>
      <c r="D87" s="9">
        <f>((C87)*(H87)*(I87))/(G87*1)</f>
        <v>0</v>
      </c>
      <c r="E87" s="9">
        <f>D87/10000</f>
        <v>0</v>
      </c>
      <c r="G87" s="10">
        <f>digestion_page!B191</f>
        <v>0</v>
      </c>
      <c r="H87" s="10">
        <f>digestion_page!C191</f>
        <v>0</v>
      </c>
      <c r="I87" s="10">
        <f>(LEFT(B87,FIND("/",B87)-1)/RIGHT(B87,LEN(B87)-FIND("/", B87)))</f>
        <v>0</v>
      </c>
    </row>
    <row r="88" spans="1:9">
      <c r="A88" s="5" t="s">
        <v>193</v>
      </c>
      <c r="B88" s="6">
        <f>"1/1"</f>
        <v>0</v>
      </c>
      <c r="C88" s="8"/>
      <c r="D88" s="9">
        <f>((C88)*(H88)*(I88))/(G88*1)</f>
        <v>0</v>
      </c>
      <c r="E88" s="9">
        <f>D88/10000</f>
        <v>0</v>
      </c>
      <c r="G88" s="10">
        <f>digestion_page!B192</f>
        <v>0</v>
      </c>
      <c r="H88" s="10">
        <f>digestion_page!C192</f>
        <v>0</v>
      </c>
      <c r="I88" s="10">
        <f>(LEFT(B88,FIND("/",B88)-1)/RIGHT(B88,LEN(B88)-FIND("/", B88)))</f>
        <v>0</v>
      </c>
    </row>
    <row r="89" spans="1:9">
      <c r="A89" s="5" t="s">
        <v>194</v>
      </c>
      <c r="B89" s="6">
        <f>"1/1"</f>
        <v>0</v>
      </c>
      <c r="C89" s="8"/>
      <c r="D89" s="9">
        <f>((C89)*(H89)*(I89))/(G89*1)</f>
        <v>0</v>
      </c>
      <c r="E89" s="9">
        <f>D89/10000</f>
        <v>0</v>
      </c>
      <c r="G89" s="10">
        <f>digestion_page!B193</f>
        <v>0</v>
      </c>
      <c r="H89" s="10">
        <f>digestion_page!C193</f>
        <v>0</v>
      </c>
      <c r="I89" s="10">
        <f>(LEFT(B89,FIND("/",B89)-1)/RIGHT(B89,LEN(B89)-FIND("/", B89)))</f>
        <v>0</v>
      </c>
    </row>
    <row r="90" spans="1:9">
      <c r="A90" s="5" t="s">
        <v>195</v>
      </c>
      <c r="B90" s="6">
        <f>"1/1"</f>
        <v>0</v>
      </c>
      <c r="C90" s="8"/>
      <c r="D90" s="9">
        <f>((C90)*(H90)*(I90))/(G90*1)</f>
        <v>0</v>
      </c>
      <c r="E90" s="9">
        <f>D90/10000</f>
        <v>0</v>
      </c>
      <c r="G90" s="10">
        <f>digestion_page!B194</f>
        <v>0</v>
      </c>
      <c r="H90" s="10">
        <f>digestion_page!C194</f>
        <v>0</v>
      </c>
      <c r="I90" s="10">
        <f>(LEFT(B90,FIND("/",B90)-1)/RIGHT(B90,LEN(B90)-FIND("/", B90)))</f>
        <v>0</v>
      </c>
    </row>
    <row r="91" spans="1:9">
      <c r="A91" s="5" t="s">
        <v>196</v>
      </c>
      <c r="B91" s="6">
        <f>"1/1"</f>
        <v>0</v>
      </c>
      <c r="C91" s="8"/>
      <c r="D91" s="9">
        <f>((C91)*(H91)*(I91))/(G91*1)</f>
        <v>0</v>
      </c>
      <c r="E91" s="9">
        <f>D91/10000</f>
        <v>0</v>
      </c>
      <c r="G91" s="10">
        <f>digestion_page!B195</f>
        <v>0</v>
      </c>
      <c r="H91" s="10">
        <f>digestion_page!C195</f>
        <v>0</v>
      </c>
      <c r="I91" s="10">
        <f>(LEFT(B91,FIND("/",B91)-1)/RIGHT(B91,LEN(B91)-FIND("/", B91)))</f>
        <v>0</v>
      </c>
    </row>
    <row r="92" spans="1:9">
      <c r="A92" s="5" t="s">
        <v>197</v>
      </c>
      <c r="B92" s="6">
        <f>"1/1"</f>
        <v>0</v>
      </c>
      <c r="C92" s="8"/>
      <c r="D92" s="9">
        <f>((C92)*(H92)*(I92))/(G92*1)</f>
        <v>0</v>
      </c>
      <c r="E92" s="9">
        <f>D92/10000</f>
        <v>0</v>
      </c>
      <c r="G92" s="10">
        <f>digestion_page!B196</f>
        <v>0</v>
      </c>
      <c r="H92" s="10">
        <f>digestion_page!C196</f>
        <v>0</v>
      </c>
      <c r="I92" s="10">
        <f>(LEFT(B92,FIND("/",B92)-1)/RIGHT(B92,LEN(B92)-FIND("/", B92)))</f>
        <v>0</v>
      </c>
    </row>
    <row r="93" spans="1:9">
      <c r="A93" s="5" t="s">
        <v>198</v>
      </c>
      <c r="B93" s="6">
        <f>"1/1"</f>
        <v>0</v>
      </c>
      <c r="C93" s="8"/>
      <c r="D93" s="9">
        <f>((C93)*(H93)*(I93))/(G93*1)</f>
        <v>0</v>
      </c>
      <c r="E93" s="9">
        <f>D93/10000</f>
        <v>0</v>
      </c>
      <c r="G93" s="10">
        <f>digestion_page!B197</f>
        <v>0</v>
      </c>
      <c r="H93" s="10">
        <f>digestion_page!C197</f>
        <v>0</v>
      </c>
      <c r="I93" s="10">
        <f>(LEFT(B93,FIND("/",B93)-1)/RIGHT(B93,LEN(B93)-FIND("/", B93)))</f>
        <v>0</v>
      </c>
    </row>
    <row r="94" spans="1:9">
      <c r="A94" s="5" t="s">
        <v>199</v>
      </c>
      <c r="B94" s="6">
        <f>"1/1"</f>
        <v>0</v>
      </c>
      <c r="C94" s="8"/>
      <c r="D94" s="9">
        <f>((C94)*(H94)*(I94))/(G94*1)</f>
        <v>0</v>
      </c>
      <c r="E94" s="9">
        <f>D94/10000</f>
        <v>0</v>
      </c>
      <c r="G94" s="10">
        <f>digestion_page!B198</f>
        <v>0</v>
      </c>
      <c r="H94" s="10">
        <f>digestion_page!C198</f>
        <v>0</v>
      </c>
      <c r="I94" s="10">
        <f>(LEFT(B94,FIND("/",B94)-1)/RIGHT(B94,LEN(B94)-FIND("/", B94)))</f>
        <v>0</v>
      </c>
    </row>
    <row r="95" spans="1:9">
      <c r="A95" s="5" t="s">
        <v>200</v>
      </c>
      <c r="B95" s="6">
        <f>"1/1"</f>
        <v>0</v>
      </c>
      <c r="C95" s="8"/>
      <c r="D95" s="9">
        <f>((C95)*(H95)*(I95))/(G95*1)</f>
        <v>0</v>
      </c>
      <c r="E95" s="9">
        <f>D95/10000</f>
        <v>0</v>
      </c>
      <c r="G95" s="10">
        <f>digestion_page!B199</f>
        <v>0</v>
      </c>
      <c r="H95" s="10">
        <f>digestion_page!C199</f>
        <v>0</v>
      </c>
      <c r="I95" s="10">
        <f>(LEFT(B95,FIND("/",B95)-1)/RIGHT(B95,LEN(B95)-FIND("/", B95)))</f>
        <v>0</v>
      </c>
    </row>
    <row r="96" spans="1:9">
      <c r="A96" s="5" t="s">
        <v>201</v>
      </c>
      <c r="B96" s="6">
        <f>"1/1"</f>
        <v>0</v>
      </c>
      <c r="C96" s="8"/>
      <c r="D96" s="9">
        <f>((C96)*(H96)*(I96))/(G96*1)</f>
        <v>0</v>
      </c>
      <c r="E96" s="9">
        <f>D96/10000</f>
        <v>0</v>
      </c>
      <c r="G96" s="10">
        <f>digestion_page!B200</f>
        <v>0</v>
      </c>
      <c r="H96" s="10">
        <f>digestion_page!C200</f>
        <v>0</v>
      </c>
      <c r="I96" s="10">
        <f>(LEFT(B96,FIND("/",B96)-1)/RIGHT(B96,LEN(B96)-FIND("/", B96)))</f>
        <v>0</v>
      </c>
    </row>
    <row r="97" spans="1:9">
      <c r="A97" s="5" t="s">
        <v>202</v>
      </c>
      <c r="B97" s="6">
        <f>"1/1"</f>
        <v>0</v>
      </c>
      <c r="C97" s="8"/>
      <c r="D97" s="9">
        <f>((C97)*(H97)*(I97))/(G97*1)</f>
        <v>0</v>
      </c>
      <c r="E97" s="9">
        <f>D97/10000</f>
        <v>0</v>
      </c>
      <c r="G97" s="10">
        <f>digestion_page!B201</f>
        <v>0</v>
      </c>
      <c r="H97" s="10">
        <f>digestion_page!C201</f>
        <v>0</v>
      </c>
      <c r="I97" s="10">
        <f>(LEFT(B97,FIND("/",B97)-1)/RIGHT(B97,LEN(B97)-FIND("/", B97)))</f>
        <v>0</v>
      </c>
    </row>
    <row r="98" spans="1:9">
      <c r="A98" s="5" t="s">
        <v>203</v>
      </c>
      <c r="B98" s="6">
        <f>"1/1"</f>
        <v>0</v>
      </c>
      <c r="C98" s="8"/>
      <c r="D98" s="9">
        <f>((C98)*(H98)*(I98))/(G98*1)</f>
        <v>0</v>
      </c>
      <c r="E98" s="9">
        <f>D98/10000</f>
        <v>0</v>
      </c>
      <c r="G98" s="10">
        <f>digestion_page!B202</f>
        <v>0</v>
      </c>
      <c r="H98" s="10">
        <f>digestion_page!C202</f>
        <v>0</v>
      </c>
      <c r="I98" s="10">
        <f>(LEFT(B98,FIND("/",B98)-1)/RIGHT(B98,LEN(B98)-FIND("/", B98)))</f>
        <v>0</v>
      </c>
    </row>
    <row r="99" spans="1:9">
      <c r="A99" s="5" t="s">
        <v>204</v>
      </c>
      <c r="B99" s="6">
        <f>"1/1"</f>
        <v>0</v>
      </c>
      <c r="C99" s="8"/>
      <c r="D99" s="9">
        <f>((C99)*(H99)*(I99))/(G99*1)</f>
        <v>0</v>
      </c>
      <c r="E99" s="9">
        <f>D99/10000</f>
        <v>0</v>
      </c>
      <c r="G99" s="10">
        <f>digestion_page!B203</f>
        <v>0</v>
      </c>
      <c r="H99" s="10">
        <f>digestion_page!C203</f>
        <v>0</v>
      </c>
      <c r="I99" s="10">
        <f>(LEFT(B99,FIND("/",B99)-1)/RIGHT(B99,LEN(B99)-FIND("/", B99)))</f>
        <v>0</v>
      </c>
    </row>
    <row r="100" spans="1:9">
      <c r="A100" s="5" t="s">
        <v>205</v>
      </c>
      <c r="B100" s="6">
        <f>"1/1"</f>
        <v>0</v>
      </c>
      <c r="C100" s="8"/>
      <c r="D100" s="9">
        <f>((C100)*(H100)*(I100))/(G100*1)</f>
        <v>0</v>
      </c>
      <c r="E100" s="9">
        <f>D100/10000</f>
        <v>0</v>
      </c>
      <c r="G100" s="10">
        <f>digestion_page!B204</f>
        <v>0</v>
      </c>
      <c r="H100" s="10">
        <f>digestion_page!C204</f>
        <v>0</v>
      </c>
      <c r="I100" s="10">
        <f>(LEFT(B100,FIND("/",B100)-1)/RIGHT(B100,LEN(B100)-FIND("/", B100)))</f>
        <v>0</v>
      </c>
    </row>
    <row r="101" spans="1:9">
      <c r="A101" s="5" t="s">
        <v>206</v>
      </c>
      <c r="B101" s="6">
        <f>"1/1"</f>
        <v>0</v>
      </c>
      <c r="C101" s="8"/>
      <c r="D101" s="9">
        <f>((C101)*(H101)*(I101))/(G101*1)</f>
        <v>0</v>
      </c>
      <c r="E101" s="9">
        <f>D101/10000</f>
        <v>0</v>
      </c>
      <c r="G101" s="10">
        <f>digestion_page!B205</f>
        <v>0</v>
      </c>
      <c r="H101" s="10">
        <f>digestion_page!C205</f>
        <v>0</v>
      </c>
      <c r="I101" s="10">
        <f>(LEFT(B101,FIND("/",B101)-1)/RIGHT(B101,LEN(B101)-FIND("/", B101)))</f>
        <v>0</v>
      </c>
    </row>
    <row r="102" spans="1:9">
      <c r="A102" s="5" t="s">
        <v>207</v>
      </c>
      <c r="B102" s="6">
        <f>"1/1"</f>
        <v>0</v>
      </c>
      <c r="C102" s="8"/>
      <c r="D102" s="9">
        <f>((C102)*(H102)*(I102))/(G102*1)</f>
        <v>0</v>
      </c>
      <c r="E102" s="9">
        <f>D102/10000</f>
        <v>0</v>
      </c>
      <c r="G102" s="10">
        <f>digestion_page!B206</f>
        <v>0</v>
      </c>
      <c r="H102" s="10">
        <f>digestion_page!C206</f>
        <v>0</v>
      </c>
      <c r="I102" s="10">
        <f>(LEFT(B102,FIND("/",B102)-1)/RIGHT(B102,LEN(B102)-FIND("/", B102)))</f>
        <v>0</v>
      </c>
    </row>
    <row r="103" spans="1:9">
      <c r="A103" s="5" t="s">
        <v>208</v>
      </c>
      <c r="B103" s="6">
        <f>"1/1"</f>
        <v>0</v>
      </c>
      <c r="C103" s="8"/>
      <c r="D103" s="9">
        <f>((C103)*(H103)*(I103))/(G103*1)</f>
        <v>0</v>
      </c>
      <c r="E103" s="9">
        <f>D103/10000</f>
        <v>0</v>
      </c>
      <c r="G103" s="10">
        <f>digestion_page!B207</f>
        <v>0</v>
      </c>
      <c r="H103" s="10">
        <f>digestion_page!C207</f>
        <v>0</v>
      </c>
      <c r="I103" s="10">
        <f>(LEFT(B103,FIND("/",B103)-1)/RIGHT(B103,LEN(B103)-FIND("/", B103)))</f>
        <v>0</v>
      </c>
    </row>
    <row r="104" spans="1:9">
      <c r="A104" s="5" t="s">
        <v>209</v>
      </c>
      <c r="B104" s="6">
        <f>"1/1"</f>
        <v>0</v>
      </c>
      <c r="C104" s="8"/>
      <c r="D104" s="9">
        <f>((C104)*(H104)*(I104))/(G104*1)</f>
        <v>0</v>
      </c>
      <c r="E104" s="9">
        <f>D104/10000</f>
        <v>0</v>
      </c>
      <c r="G104" s="10">
        <f>digestion_page!B208</f>
        <v>0</v>
      </c>
      <c r="H104" s="10">
        <f>digestion_page!C208</f>
        <v>0</v>
      </c>
      <c r="I104" s="10">
        <f>(LEFT(B104,FIND("/",B104)-1)/RIGHT(B104,LEN(B104)-FIND("/", B104)))</f>
        <v>0</v>
      </c>
    </row>
    <row r="105" spans="1:9">
      <c r="A105" s="5" t="s">
        <v>210</v>
      </c>
      <c r="B105" s="6">
        <f>"1/1"</f>
        <v>0</v>
      </c>
      <c r="C105" s="8"/>
      <c r="D105" s="9">
        <f>((C105)*(H105)*(I105))/(G105*1)</f>
        <v>0</v>
      </c>
      <c r="E105" s="9">
        <f>D105/10000</f>
        <v>0</v>
      </c>
      <c r="G105" s="10">
        <f>digestion_page!B209</f>
        <v>0</v>
      </c>
      <c r="H105" s="10">
        <f>digestion_page!C209</f>
        <v>0</v>
      </c>
      <c r="I105" s="10">
        <f>(LEFT(B105,FIND("/",B105)-1)/RIGHT(B105,LEN(B105)-FIND("/", B105)))</f>
        <v>0</v>
      </c>
    </row>
    <row r="106" spans="1:9">
      <c r="A106" s="5" t="s">
        <v>211</v>
      </c>
      <c r="B106" s="6">
        <f>"1/1"</f>
        <v>0</v>
      </c>
      <c r="C106" s="8"/>
      <c r="D106" s="9">
        <f>((C106)*(H106)*(I106))/(G106*1)</f>
        <v>0</v>
      </c>
      <c r="E106" s="9">
        <f>D106/10000</f>
        <v>0</v>
      </c>
      <c r="G106" s="10">
        <f>digestion_page!B210</f>
        <v>0</v>
      </c>
      <c r="H106" s="10">
        <f>digestion_page!C210</f>
        <v>0</v>
      </c>
      <c r="I106" s="10">
        <f>(LEFT(B106,FIND("/",B106)-1)/RIGHT(B106,LEN(B106)-FIND("/", B106)))</f>
        <v>0</v>
      </c>
    </row>
    <row r="107" spans="1:9">
      <c r="A107" s="5" t="s">
        <v>212</v>
      </c>
      <c r="B107" s="6">
        <f>"1/1"</f>
        <v>0</v>
      </c>
      <c r="C107" s="8"/>
      <c r="D107" s="9">
        <f>((C107)*(H107)*(I107))/(G107*1)</f>
        <v>0</v>
      </c>
      <c r="E107" s="9">
        <f>D107/10000</f>
        <v>0</v>
      </c>
      <c r="G107" s="10">
        <f>digestion_page!B211</f>
        <v>0</v>
      </c>
      <c r="H107" s="10">
        <f>digestion_page!C211</f>
        <v>0</v>
      </c>
      <c r="I107" s="10">
        <f>(LEFT(B107,FIND("/",B107)-1)/RIGHT(B107,LEN(B107)-FIND("/", B107)))</f>
        <v>0</v>
      </c>
    </row>
    <row r="109" spans="1:9">
      <c r="A109" s="11" t="s">
        <v>219</v>
      </c>
      <c r="B109" s="11"/>
      <c r="C109" s="12">
        <f>AVERAGE(D7:D107)</f>
        <v>0</v>
      </c>
    </row>
    <row r="110" spans="1:9">
      <c r="A110" s="11" t="s">
        <v>219</v>
      </c>
      <c r="B110" s="11"/>
      <c r="C110" s="13">
        <f>AVERAGE(E7:E107)</f>
        <v>0</v>
      </c>
    </row>
    <row r="111" spans="1:9">
      <c r="A111" s="11" t="s">
        <v>220</v>
      </c>
      <c r="B111" s="11"/>
      <c r="C111" s="14" t="s">
        <v>221</v>
      </c>
      <c r="D111" s="14"/>
      <c r="E111" s="14"/>
      <c r="F111" s="14"/>
    </row>
    <row r="113" spans="2:6">
      <c r="B113" s="11" t="s">
        <v>222</v>
      </c>
      <c r="C113" s="15"/>
      <c r="D113" s="15"/>
      <c r="E113" s="15"/>
      <c r="F113" s="15"/>
    </row>
    <row r="114" spans="2:6">
      <c r="C114" s="15"/>
      <c r="D114" s="15"/>
      <c r="E114" s="15"/>
      <c r="F114" s="15"/>
    </row>
    <row r="115" spans="2:6">
      <c r="C115" s="15"/>
      <c r="D115" s="15"/>
      <c r="E115" s="15"/>
      <c r="F115" s="15"/>
    </row>
  </sheetData>
  <mergeCells count="6">
    <mergeCell ref="A5:B5"/>
    <mergeCell ref="A109:B109"/>
    <mergeCell ref="A110:B110"/>
    <mergeCell ref="A111:B111"/>
    <mergeCell ref="C111:F111"/>
    <mergeCell ref="C113:F115"/>
  </mergeCells>
  <conditionalFormatting sqref="C111:F111">
    <cfRule type="containsBlanks" dxfId="0" priority="1">
      <formula>LEN(TRIM(C111))=0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46.140625" bestFit="1" customWidth="1"/>
  </cols>
  <sheetData>
    <row r="1" spans="1:1">
      <c r="A1" s="16" t="s">
        <v>223</v>
      </c>
    </row>
    <row r="3" spans="1:1">
      <c r="A3" s="16" t="s">
        <v>224</v>
      </c>
    </row>
    <row r="5" spans="1:1">
      <c r="A5" s="16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digestion_page</vt:lpstr>
      <vt:lpstr>200120001</vt:lpstr>
      <vt:lpstr>200120002</vt:lpstr>
      <vt:lpstr>formula_page</vt:lpstr>
    </vt:vector>
  </TitlesOfParts>
  <Company>Clariant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dcterms:created xsi:type="dcterms:W3CDTF">2026-07-08T22:07:16Z</dcterms:created>
  <dcterms:modified xsi:type="dcterms:W3CDTF">2026-07-08T22:07:16Z</dcterms:modified>
</cp:coreProperties>
</file>