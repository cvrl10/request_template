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8601" sheetId="2" r:id="rId2"/>
    <sheet name="200128602" sheetId="3" r:id="rId3"/>
    <sheet name="200128603" sheetId="4" r:id="rId4"/>
    <sheet name="formula_page" sheetId="5" r:id="rId5"/>
  </sheets>
  <calcPr calcId="124519" fullCalcOnLoad="1"/>
</workbook>
</file>

<file path=xl/sharedStrings.xml><?xml version="1.0" encoding="utf-8"?>
<sst xmlns="http://schemas.openxmlformats.org/spreadsheetml/2006/main" count="118" uniqueCount="52">
  <si>
    <t>Date:</t>
  </si>
  <si>
    <t>Request ID:</t>
  </si>
  <si>
    <t>1000486001</t>
  </si>
  <si>
    <t>Hotplate</t>
  </si>
  <si>
    <t>Analyte(s)</t>
  </si>
  <si>
    <t>Ca</t>
  </si>
  <si>
    <t>SOP#</t>
  </si>
  <si>
    <t>Cocktail</t>
  </si>
  <si>
    <t>sample(s)</t>
  </si>
  <si>
    <t>weight (g)</t>
  </si>
  <si>
    <t>volume (mL)</t>
  </si>
  <si>
    <t>200128601_1</t>
  </si>
  <si>
    <t>200128601_2</t>
  </si>
  <si>
    <t>200128602_1</t>
  </si>
  <si>
    <t>200128602_2</t>
  </si>
  <si>
    <t>200128603_1</t>
  </si>
  <si>
    <t>200128603_2</t>
  </si>
  <si>
    <t>Na</t>
  </si>
  <si>
    <t>LOI temp:</t>
  </si>
  <si>
    <t>sample</t>
  </si>
  <si>
    <t>crucible (g)</t>
  </si>
  <si>
    <t>crucible + sample (g)</t>
  </si>
  <si>
    <t>LOI (%)</t>
  </si>
  <si>
    <t>correction</t>
  </si>
  <si>
    <t>200128601</t>
  </si>
  <si>
    <t>Ca ICP analysis</t>
  </si>
  <si>
    <t>Dilution</t>
  </si>
  <si>
    <t>conc. [mg/L]</t>
  </si>
  <si>
    <t>Ca_ppm [dried]</t>
  </si>
  <si>
    <t>%Ca [dried]</t>
  </si>
  <si>
    <t>ca result:</t>
  </si>
  <si>
    <t>ca lot:</t>
  </si>
  <si>
    <t>Manufacturer: Assurance, 28-35CAY exp: 2026-10-30</t>
  </si>
  <si>
    <t>Note(s):</t>
  </si>
  <si>
    <t>200128602</t>
  </si>
  <si>
    <t>Na ICP analysis</t>
  </si>
  <si>
    <t>Na_ppm [dried]</t>
  </si>
  <si>
    <t>%Na [dried]</t>
  </si>
  <si>
    <t>na result:</t>
  </si>
  <si>
    <t>na lot:</t>
  </si>
  <si>
    <t>Manufacturer: Assurance, 27-159NAY exp: 2026-08-30</t>
  </si>
  <si>
    <t>200128603</t>
  </si>
  <si>
    <t>ppm M+ = [conc.][volume][dilution]/[weight]</t>
  </si>
  <si>
    <t>%M+ = [conc.][volume][dilution]/([weight]*10,000)</t>
  </si>
  <si>
    <t>%MO = [oxide factor]*%M+</t>
  </si>
  <si>
    <t>A = crucible</t>
  </si>
  <si>
    <t>B = crucible + sample</t>
  </si>
  <si>
    <t>C = crucible + sample after drying</t>
  </si>
  <si>
    <t>%LOI = ([B-A]-[C-A])/(B-A)*100%</t>
  </si>
  <si>
    <t>ppm M+  [dried] = ppm M+/([1-(%LOI)/100])</t>
  </si>
  <si>
    <t>%M+  [dried] = %M+/([1-(%LOI)/100])</t>
  </si>
  <si>
    <t>%MO [dried] = %MO/([1-(%LOI)/100])</t>
  </si>
</sst>
</file>

<file path=xl/styles.xml><?xml version="1.0" encoding="utf-8"?>
<styleSheet xmlns="http://schemas.openxmlformats.org/spreadsheetml/2006/main">
  <numFmts count="7">
    <numFmt numFmtId="164" formatCode="yyyy-mm-dd"/>
    <numFmt numFmtId="165" formatCode="0.0000"/>
    <numFmt numFmtId="166" formatCode="######&quot; °C&quot;"/>
    <numFmt numFmtId="167" formatCode="0.00"/>
    <numFmt numFmtId="168" formatCode="0.000"/>
    <numFmt numFmtId="169" formatCode="0.00&quot; ppm&quot;"/>
    <numFmt numFmtId="170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167" fontId="0" fillId="0" borderId="1" xfId="0" applyNumberFormat="1" applyBorder="1"/>
    <xf numFmtId="168" fontId="0" fillId="0" borderId="1" xfId="0" applyNumberFormat="1" applyBorder="1"/>
    <xf numFmtId="0" fontId="2" fillId="0" borderId="0" xfId="0" applyFon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4"/>
  <sheetViews>
    <sheetView tabSelected="1" workbookViewId="0"/>
  </sheetViews>
  <sheetFormatPr defaultRowHeight="15"/>
  <cols>
    <col min="1" max="1" width="12" bestFit="1" customWidth="1"/>
    <col min="2" max="2" width="11" bestFit="1" customWidth="1"/>
    <col min="3" max="3" width="12.140625" bestFit="1" customWidth="1"/>
  </cols>
  <sheetData>
    <row r="1" spans="1:3">
      <c r="A1" s="1" t="s">
        <v>0</v>
      </c>
      <c r="B1" s="2">
        <v>46217</v>
      </c>
    </row>
    <row r="2" spans="1:3">
      <c r="A2" s="1" t="s">
        <v>1</v>
      </c>
      <c r="B2" s="3" t="s">
        <v>2</v>
      </c>
    </row>
    <row r="5" spans="1:3">
      <c r="A5" s="4" t="s">
        <v>3</v>
      </c>
      <c r="B5" s="4"/>
      <c r="C5" s="4"/>
    </row>
    <row r="6" spans="1:3">
      <c r="A6" s="5" t="s">
        <v>4</v>
      </c>
      <c r="B6" s="6" t="s">
        <v>5</v>
      </c>
      <c r="C6" s="6"/>
    </row>
    <row r="7" spans="1:3">
      <c r="A7" s="5" t="s">
        <v>6</v>
      </c>
      <c r="B7" s="6"/>
      <c r="C7" s="6"/>
    </row>
    <row r="8" spans="1:3">
      <c r="A8" s="5" t="s">
        <v>7</v>
      </c>
      <c r="B8" s="6"/>
      <c r="C8" s="6"/>
    </row>
    <row r="9" spans="1:3">
      <c r="A9" s="5" t="s">
        <v>8</v>
      </c>
      <c r="B9" s="5" t="s">
        <v>9</v>
      </c>
      <c r="C9" s="5" t="s">
        <v>10</v>
      </c>
    </row>
    <row r="10" spans="1:3">
      <c r="A10" s="5" t="s">
        <v>11</v>
      </c>
      <c r="B10" s="7"/>
      <c r="C10" s="6"/>
    </row>
    <row r="11" spans="1:3">
      <c r="A11" s="5" t="s">
        <v>12</v>
      </c>
      <c r="B11" s="7"/>
      <c r="C11" s="6"/>
    </row>
    <row r="12" spans="1:3">
      <c r="A12" s="5" t="s">
        <v>13</v>
      </c>
      <c r="B12" s="7"/>
      <c r="C12" s="6"/>
    </row>
    <row r="13" spans="1:3">
      <c r="A13" s="5" t="s">
        <v>14</v>
      </c>
      <c r="B13" s="7"/>
      <c r="C13" s="6"/>
    </row>
    <row r="14" spans="1:3">
      <c r="A14" s="5" t="s">
        <v>15</v>
      </c>
      <c r="B14" s="7"/>
      <c r="C14" s="6"/>
    </row>
    <row r="15" spans="1:3">
      <c r="A15" s="5" t="s">
        <v>16</v>
      </c>
      <c r="B15" s="7"/>
      <c r="C15" s="6"/>
    </row>
    <row r="18" spans="1:3">
      <c r="A18" s="4" t="s">
        <v>3</v>
      </c>
      <c r="B18" s="4"/>
      <c r="C18" s="4"/>
    </row>
    <row r="19" spans="1:3">
      <c r="A19" s="5" t="s">
        <v>4</v>
      </c>
      <c r="B19" s="6" t="s">
        <v>17</v>
      </c>
      <c r="C19" s="6"/>
    </row>
    <row r="20" spans="1:3">
      <c r="A20" s="5" t="s">
        <v>6</v>
      </c>
      <c r="B20" s="6"/>
      <c r="C20" s="6"/>
    </row>
    <row r="21" spans="1:3">
      <c r="A21" s="5" t="s">
        <v>7</v>
      </c>
      <c r="B21" s="6"/>
      <c r="C21" s="6"/>
    </row>
    <row r="22" spans="1:3">
      <c r="A22" s="5" t="s">
        <v>8</v>
      </c>
      <c r="B22" s="5" t="s">
        <v>9</v>
      </c>
      <c r="C22" s="5" t="s">
        <v>10</v>
      </c>
    </row>
    <row r="23" spans="1:3">
      <c r="A23" s="5" t="s">
        <v>13</v>
      </c>
      <c r="B23" s="7"/>
      <c r="C23" s="6"/>
    </row>
    <row r="24" spans="1:3">
      <c r="A24" s="5" t="s">
        <v>14</v>
      </c>
      <c r="B24" s="7"/>
      <c r="C24" s="6"/>
    </row>
  </sheetData>
  <mergeCells count="8">
    <mergeCell ref="A5:C5"/>
    <mergeCell ref="B6:C6"/>
    <mergeCell ref="B7:C7"/>
    <mergeCell ref="B8:C8"/>
    <mergeCell ref="A18:C18"/>
    <mergeCell ref="B19:C19"/>
    <mergeCell ref="B20:C20"/>
    <mergeCell ref="B21:C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0"/>
  <sheetViews>
    <sheetView workbookViewId="0"/>
  </sheetViews>
  <sheetFormatPr defaultRowHeight="15"/>
  <cols>
    <col min="1" max="1" width="13.85546875" bestFit="1" customWidth="1"/>
    <col min="2" max="2" width="11" bestFit="1" customWidth="1"/>
    <col min="3" max="3" width="19.140625" bestFit="1" customWidth="1"/>
    <col min="4" max="4" width="14.7109375" bestFit="1" customWidth="1"/>
    <col min="5" max="5" width="11.285156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46217</v>
      </c>
    </row>
    <row r="2" spans="1:9">
      <c r="A2" s="1" t="s">
        <v>1</v>
      </c>
      <c r="B2" s="3" t="s">
        <v>2</v>
      </c>
    </row>
    <row r="5" spans="1:9">
      <c r="A5" s="8" t="s">
        <v>18</v>
      </c>
      <c r="B5" s="9"/>
    </row>
    <row r="6" spans="1:9">
      <c r="A6" s="5" t="s">
        <v>19</v>
      </c>
      <c r="B6" s="5" t="s">
        <v>20</v>
      </c>
      <c r="C6" s="5" t="s">
        <v>21</v>
      </c>
      <c r="D6" s="5">
        <f>"after "&amp;B5&amp;" °C"</f>
        <v>0</v>
      </c>
      <c r="E6" s="5" t="s">
        <v>22</v>
      </c>
      <c r="F6" s="5" t="s">
        <v>23</v>
      </c>
    </row>
    <row r="7" spans="1:9">
      <c r="A7" s="5" t="s">
        <v>24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25</v>
      </c>
      <c r="B9" s="3"/>
    </row>
    <row r="10" spans="1:9">
      <c r="A10" s="5" t="s">
        <v>19</v>
      </c>
      <c r="B10" s="5" t="s">
        <v>26</v>
      </c>
      <c r="C10" s="5" t="s">
        <v>27</v>
      </c>
      <c r="D10" s="5" t="s">
        <v>28</v>
      </c>
      <c r="E10" s="5" t="s">
        <v>29</v>
      </c>
    </row>
    <row r="11" spans="1:9">
      <c r="A11" s="5" t="s">
        <v>11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digestion_page!B10</f>
        <v>0</v>
      </c>
      <c r="H11" s="12">
        <f>digestion_page!C10</f>
        <v>0</v>
      </c>
      <c r="I11" s="12">
        <f>(LEFT(B11,FIND("/",B11)-1)/RIGHT(B11,LEN(B11)-FIND("/", B11)))</f>
        <v>0</v>
      </c>
    </row>
    <row r="12" spans="1:9">
      <c r="A12" s="5" t="s">
        <v>12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digestion_page!B11</f>
        <v>0</v>
      </c>
      <c r="H12" s="12">
        <f>digestion_page!C11</f>
        <v>0</v>
      </c>
      <c r="I12" s="12">
        <f>(LEFT(B12,FIND("/",B12)-1)/RIGHT(B12,LEN(B12)-FIND("/", B12)))</f>
        <v>0</v>
      </c>
    </row>
    <row r="14" spans="1:9">
      <c r="A14" s="8" t="s">
        <v>30</v>
      </c>
      <c r="B14" s="8"/>
      <c r="C14" s="13">
        <f>AVERAGE(D11:D12)</f>
        <v>0</v>
      </c>
    </row>
    <row r="15" spans="1:9">
      <c r="A15" s="8" t="s">
        <v>30</v>
      </c>
      <c r="B15" s="8"/>
      <c r="C15" s="14">
        <f>AVERAGE(E11:E12)</f>
        <v>0</v>
      </c>
    </row>
    <row r="16" spans="1:9">
      <c r="A16" s="8" t="s">
        <v>31</v>
      </c>
      <c r="B16" s="8"/>
      <c r="C16" s="15" t="s">
        <v>32</v>
      </c>
      <c r="D16" s="15"/>
      <c r="E16" s="15"/>
      <c r="F16" s="15"/>
    </row>
    <row r="18" spans="2:6">
      <c r="B18" s="8" t="s">
        <v>33</v>
      </c>
      <c r="C18" s="16"/>
      <c r="D18" s="16"/>
      <c r="E18" s="16"/>
      <c r="F18" s="16"/>
    </row>
    <row r="19" spans="2:6">
      <c r="C19" s="16"/>
      <c r="D19" s="16"/>
      <c r="E19" s="16"/>
      <c r="F19" s="16"/>
    </row>
    <row r="20" spans="2:6">
      <c r="C20" s="16"/>
      <c r="D20" s="16"/>
      <c r="E20" s="16"/>
      <c r="F20" s="16"/>
    </row>
  </sheetData>
  <mergeCells count="6">
    <mergeCell ref="A9:B9"/>
    <mergeCell ref="A14:B14"/>
    <mergeCell ref="A15:B15"/>
    <mergeCell ref="A16:B16"/>
    <mergeCell ref="C16:F16"/>
    <mergeCell ref="C18:F20"/>
  </mergeCells>
  <conditionalFormatting sqref="B5">
    <cfRule type="containsBlanks" dxfId="0" priority="1">
      <formula>LEN(TRIM(B5))=0</formula>
    </cfRule>
  </conditionalFormatting>
  <conditionalFormatting sqref="C16:F16">
    <cfRule type="containsBlanks" dxfId="0" priority="2">
      <formula>LEN(TRIM(C16))=0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9"/>
  <sheetViews>
    <sheetView workbookViewId="0"/>
  </sheetViews>
  <sheetFormatPr defaultRowHeight="15"/>
  <cols>
    <col min="1" max="1" width="14.140625" bestFit="1" customWidth="1"/>
    <col min="2" max="2" width="11" bestFit="1" customWidth="1"/>
    <col min="3" max="3" width="19.140625" bestFit="1" customWidth="1"/>
    <col min="4" max="4" width="15" bestFit="1" customWidth="1"/>
    <col min="5" max="5" width="11.5703125" bestFit="1" customWidth="1"/>
    <col min="6" max="6" width="10" bestFit="1" customWidth="1"/>
    <col min="7" max="19" width="7.7109375" customWidth="1"/>
  </cols>
  <sheetData>
    <row r="1" spans="1:9">
      <c r="A1" s="1" t="s">
        <v>0</v>
      </c>
      <c r="B1" s="2">
        <v>46217</v>
      </c>
    </row>
    <row r="2" spans="1:9">
      <c r="A2" s="1" t="s">
        <v>1</v>
      </c>
      <c r="B2" s="3" t="s">
        <v>2</v>
      </c>
    </row>
    <row r="5" spans="1:9">
      <c r="A5" s="8" t="s">
        <v>18</v>
      </c>
      <c r="B5" s="9"/>
    </row>
    <row r="6" spans="1:9">
      <c r="A6" s="5" t="s">
        <v>19</v>
      </c>
      <c r="B6" s="5" t="s">
        <v>20</v>
      </c>
      <c r="C6" s="5" t="s">
        <v>21</v>
      </c>
      <c r="D6" s="5">
        <f>"after "&amp;B5&amp;" °C"</f>
        <v>0</v>
      </c>
      <c r="E6" s="5" t="s">
        <v>22</v>
      </c>
      <c r="F6" s="5" t="s">
        <v>23</v>
      </c>
    </row>
    <row r="7" spans="1:9">
      <c r="A7" s="5" t="s">
        <v>34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25</v>
      </c>
      <c r="B9" s="3"/>
    </row>
    <row r="10" spans="1:9">
      <c r="A10" s="5" t="s">
        <v>19</v>
      </c>
      <c r="B10" s="5" t="s">
        <v>26</v>
      </c>
      <c r="C10" s="5" t="s">
        <v>27</v>
      </c>
      <c r="D10" s="5" t="s">
        <v>28</v>
      </c>
      <c r="E10" s="5" t="s">
        <v>29</v>
      </c>
    </row>
    <row r="11" spans="1:9">
      <c r="A11" s="5" t="s">
        <v>13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digestion_page!B12</f>
        <v>0</v>
      </c>
      <c r="H11" s="12">
        <f>digestion_page!C12</f>
        <v>0</v>
      </c>
      <c r="I11" s="12">
        <f>(LEFT(B11,FIND("/",B11)-1)/RIGHT(B11,LEN(B11)-FIND("/", B11)))</f>
        <v>0</v>
      </c>
    </row>
    <row r="12" spans="1:9">
      <c r="A12" s="5" t="s">
        <v>14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digestion_page!B13</f>
        <v>0</v>
      </c>
      <c r="H12" s="12">
        <f>digestion_page!C13</f>
        <v>0</v>
      </c>
      <c r="I12" s="12">
        <f>(LEFT(B12,FIND("/",B12)-1)/RIGHT(B12,LEN(B12)-FIND("/", B12)))</f>
        <v>0</v>
      </c>
    </row>
    <row r="14" spans="1:9">
      <c r="A14" s="8" t="s">
        <v>30</v>
      </c>
      <c r="B14" s="8"/>
      <c r="C14" s="13">
        <f>AVERAGE(D11:D12)</f>
        <v>0</v>
      </c>
    </row>
    <row r="15" spans="1:9">
      <c r="A15" s="8" t="s">
        <v>30</v>
      </c>
      <c r="B15" s="8"/>
      <c r="C15" s="14">
        <f>AVERAGE(E11:E12)</f>
        <v>0</v>
      </c>
    </row>
    <row r="16" spans="1:9">
      <c r="A16" s="8" t="s">
        <v>31</v>
      </c>
      <c r="B16" s="8"/>
      <c r="C16" s="15" t="s">
        <v>32</v>
      </c>
      <c r="D16" s="15"/>
      <c r="E16" s="15"/>
      <c r="F16" s="15"/>
    </row>
    <row r="18" spans="1:9">
      <c r="A18" s="3" t="s">
        <v>35</v>
      </c>
      <c r="B18" s="3"/>
    </row>
    <row r="19" spans="1:9">
      <c r="A19" s="5" t="s">
        <v>19</v>
      </c>
      <c r="B19" s="5" t="s">
        <v>26</v>
      </c>
      <c r="C19" s="5" t="s">
        <v>27</v>
      </c>
      <c r="D19" s="5" t="s">
        <v>36</v>
      </c>
      <c r="E19" s="5" t="s">
        <v>37</v>
      </c>
    </row>
    <row r="20" spans="1:9">
      <c r="A20" s="5" t="s">
        <v>13</v>
      </c>
      <c r="B20" s="6">
        <f>"1/1"</f>
        <v>0</v>
      </c>
      <c r="C20" s="11"/>
      <c r="D20" s="10">
        <f>((C20)*(H20)*(I20))/(G20*$F$7)</f>
        <v>0</v>
      </c>
      <c r="E20" s="10">
        <f>D20/10000</f>
        <v>0</v>
      </c>
      <c r="G20" s="12">
        <f>digestion_page!B23</f>
        <v>0</v>
      </c>
      <c r="H20" s="12">
        <f>digestion_page!C23</f>
        <v>0</v>
      </c>
      <c r="I20" s="12">
        <f>(LEFT(B20,FIND("/",B20)-1)/RIGHT(B20,LEN(B20)-FIND("/", B20)))</f>
        <v>0</v>
      </c>
    </row>
    <row r="21" spans="1:9">
      <c r="A21" s="5" t="s">
        <v>14</v>
      </c>
      <c r="B21" s="6">
        <f>"1/1"</f>
        <v>0</v>
      </c>
      <c r="C21" s="11"/>
      <c r="D21" s="10">
        <f>((C21)*(H21)*(I21))/(G21*$F$7)</f>
        <v>0</v>
      </c>
      <c r="E21" s="10">
        <f>D21/10000</f>
        <v>0</v>
      </c>
      <c r="G21" s="12">
        <f>digestion_page!B24</f>
        <v>0</v>
      </c>
      <c r="H21" s="12">
        <f>digestion_page!C24</f>
        <v>0</v>
      </c>
      <c r="I21" s="12">
        <f>(LEFT(B21,FIND("/",B21)-1)/RIGHT(B21,LEN(B21)-FIND("/", B21)))</f>
        <v>0</v>
      </c>
    </row>
    <row r="23" spans="1:9">
      <c r="A23" s="8" t="s">
        <v>38</v>
      </c>
      <c r="B23" s="8"/>
      <c r="C23" s="13">
        <f>AVERAGE(D20:D21)</f>
        <v>0</v>
      </c>
    </row>
    <row r="24" spans="1:9">
      <c r="A24" s="8" t="s">
        <v>38</v>
      </c>
      <c r="B24" s="8"/>
      <c r="C24" s="14">
        <f>AVERAGE(E20:E21)</f>
        <v>0</v>
      </c>
    </row>
    <row r="25" spans="1:9">
      <c r="A25" s="8" t="s">
        <v>39</v>
      </c>
      <c r="B25" s="8"/>
      <c r="C25" s="15" t="s">
        <v>40</v>
      </c>
      <c r="D25" s="15"/>
      <c r="E25" s="15"/>
      <c r="F25" s="15"/>
    </row>
    <row r="27" spans="1:9">
      <c r="B27" s="8" t="s">
        <v>33</v>
      </c>
      <c r="C27" s="16"/>
      <c r="D27" s="16"/>
      <c r="E27" s="16"/>
      <c r="F27" s="16"/>
    </row>
    <row r="28" spans="1:9">
      <c r="C28" s="16"/>
      <c r="D28" s="16"/>
      <c r="E28" s="16"/>
      <c r="F28" s="16"/>
    </row>
    <row r="29" spans="1:9">
      <c r="C29" s="16"/>
      <c r="D29" s="16"/>
      <c r="E29" s="16"/>
      <c r="F29" s="16"/>
    </row>
  </sheetData>
  <mergeCells count="11">
    <mergeCell ref="A9:B9"/>
    <mergeCell ref="A14:B14"/>
    <mergeCell ref="A15:B15"/>
    <mergeCell ref="A16:B16"/>
    <mergeCell ref="C16:F16"/>
    <mergeCell ref="A18:B18"/>
    <mergeCell ref="A23:B23"/>
    <mergeCell ref="A24:B24"/>
    <mergeCell ref="A25:B25"/>
    <mergeCell ref="C25:F25"/>
    <mergeCell ref="C27:F29"/>
  </mergeCells>
  <conditionalFormatting sqref="B5">
    <cfRule type="containsBlanks" dxfId="0" priority="1">
      <formula>LEN(TRIM(B5))=0</formula>
    </cfRule>
  </conditionalFormatting>
  <conditionalFormatting sqref="C16:F16">
    <cfRule type="containsBlanks" dxfId="0" priority="2">
      <formula>LEN(TRIM(C16))=0</formula>
    </cfRule>
  </conditionalFormatting>
  <conditionalFormatting sqref="C25:F25">
    <cfRule type="containsBlanks" dxfId="0" priority="3">
      <formula>LEN(TRIM(C25))=0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0"/>
  <sheetViews>
    <sheetView workbookViewId="0"/>
  </sheetViews>
  <sheetFormatPr defaultRowHeight="15"/>
  <cols>
    <col min="1" max="1" width="13.85546875" bestFit="1" customWidth="1"/>
    <col min="2" max="2" width="11" bestFit="1" customWidth="1"/>
    <col min="3" max="3" width="19.140625" bestFit="1" customWidth="1"/>
    <col min="4" max="4" width="14.7109375" bestFit="1" customWidth="1"/>
    <col min="5" max="5" width="11.285156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46217</v>
      </c>
    </row>
    <row r="2" spans="1:9">
      <c r="A2" s="1" t="s">
        <v>1</v>
      </c>
      <c r="B2" s="3" t="s">
        <v>2</v>
      </c>
    </row>
    <row r="5" spans="1:9">
      <c r="A5" s="8" t="s">
        <v>18</v>
      </c>
      <c r="B5" s="9"/>
    </row>
    <row r="6" spans="1:9">
      <c r="A6" s="5" t="s">
        <v>19</v>
      </c>
      <c r="B6" s="5" t="s">
        <v>20</v>
      </c>
      <c r="C6" s="5" t="s">
        <v>21</v>
      </c>
      <c r="D6" s="5">
        <f>"after "&amp;B5&amp;" °C"</f>
        <v>0</v>
      </c>
      <c r="E6" s="5" t="s">
        <v>22</v>
      </c>
      <c r="F6" s="5" t="s">
        <v>23</v>
      </c>
    </row>
    <row r="7" spans="1:9">
      <c r="A7" s="5" t="s">
        <v>41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25</v>
      </c>
      <c r="B9" s="3"/>
    </row>
    <row r="10" spans="1:9">
      <c r="A10" s="5" t="s">
        <v>19</v>
      </c>
      <c r="B10" s="5" t="s">
        <v>26</v>
      </c>
      <c r="C10" s="5" t="s">
        <v>27</v>
      </c>
      <c r="D10" s="5" t="s">
        <v>28</v>
      </c>
      <c r="E10" s="5" t="s">
        <v>29</v>
      </c>
    </row>
    <row r="11" spans="1:9">
      <c r="A11" s="5" t="s">
        <v>15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digestion_page!B14</f>
        <v>0</v>
      </c>
      <c r="H11" s="12">
        <f>digestion_page!C14</f>
        <v>0</v>
      </c>
      <c r="I11" s="12">
        <f>(LEFT(B11,FIND("/",B11)-1)/RIGHT(B11,LEN(B11)-FIND("/", B11)))</f>
        <v>0</v>
      </c>
    </row>
    <row r="12" spans="1:9">
      <c r="A12" s="5" t="s">
        <v>16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digestion_page!B15</f>
        <v>0</v>
      </c>
      <c r="H12" s="12">
        <f>digestion_page!C15</f>
        <v>0</v>
      </c>
      <c r="I12" s="12">
        <f>(LEFT(B12,FIND("/",B12)-1)/RIGHT(B12,LEN(B12)-FIND("/", B12)))</f>
        <v>0</v>
      </c>
    </row>
    <row r="14" spans="1:9">
      <c r="A14" s="8" t="s">
        <v>30</v>
      </c>
      <c r="B14" s="8"/>
      <c r="C14" s="13">
        <f>AVERAGE(D11:D12)</f>
        <v>0</v>
      </c>
    </row>
    <row r="15" spans="1:9">
      <c r="A15" s="8" t="s">
        <v>30</v>
      </c>
      <c r="B15" s="8"/>
      <c r="C15" s="14">
        <f>AVERAGE(E11:E12)</f>
        <v>0</v>
      </c>
    </row>
    <row r="16" spans="1:9">
      <c r="A16" s="8" t="s">
        <v>31</v>
      </c>
      <c r="B16" s="8"/>
      <c r="C16" s="15" t="s">
        <v>32</v>
      </c>
      <c r="D16" s="15"/>
      <c r="E16" s="15"/>
      <c r="F16" s="15"/>
    </row>
    <row r="18" spans="2:6">
      <c r="B18" s="8" t="s">
        <v>33</v>
      </c>
      <c r="C18" s="16"/>
      <c r="D18" s="16"/>
      <c r="E18" s="16"/>
      <c r="F18" s="16"/>
    </row>
    <row r="19" spans="2:6">
      <c r="C19" s="16"/>
      <c r="D19" s="16"/>
      <c r="E19" s="16"/>
      <c r="F19" s="16"/>
    </row>
    <row r="20" spans="2:6">
      <c r="C20" s="16"/>
      <c r="D20" s="16"/>
      <c r="E20" s="16"/>
      <c r="F20" s="16"/>
    </row>
  </sheetData>
  <mergeCells count="6">
    <mergeCell ref="A9:B9"/>
    <mergeCell ref="A14:B14"/>
    <mergeCell ref="A15:B15"/>
    <mergeCell ref="A16:B16"/>
    <mergeCell ref="C16:F16"/>
    <mergeCell ref="C18:F20"/>
  </mergeCells>
  <conditionalFormatting sqref="B5">
    <cfRule type="containsBlanks" dxfId="0" priority="1">
      <formula>LEN(TRIM(B5))=0</formula>
    </cfRule>
  </conditionalFormatting>
  <conditionalFormatting sqref="C16:F16">
    <cfRule type="containsBlanks" dxfId="0" priority="2">
      <formula>LEN(TRIM(C16))=0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7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42</v>
      </c>
    </row>
    <row r="3" spans="1:1">
      <c r="A3" s="17" t="s">
        <v>43</v>
      </c>
    </row>
    <row r="5" spans="1:1">
      <c r="A5" s="17" t="s">
        <v>44</v>
      </c>
    </row>
    <row r="7" spans="1:1">
      <c r="A7" s="17" t="s">
        <v>45</v>
      </c>
    </row>
    <row r="8" spans="1:1">
      <c r="A8" s="17" t="s">
        <v>46</v>
      </c>
    </row>
    <row r="9" spans="1:1">
      <c r="A9" s="17" t="s">
        <v>47</v>
      </c>
    </row>
    <row r="11" spans="1:1">
      <c r="A11" s="17" t="s">
        <v>48</v>
      </c>
    </row>
    <row r="13" spans="1:1">
      <c r="A13" s="17" t="s">
        <v>49</v>
      </c>
    </row>
    <row r="15" spans="1:1">
      <c r="A15" s="17" t="s">
        <v>50</v>
      </c>
    </row>
    <row r="17" spans="1:1">
      <c r="A17" s="17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200128601</vt:lpstr>
      <vt:lpstr>200128602</vt:lpstr>
      <vt:lpstr>200128603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2026-07-15T01:52:24Z</dcterms:created>
  <dcterms:modified xsi:type="dcterms:W3CDTF">2026-07-15T01:52:24Z</dcterms:modified>
</cp:coreProperties>
</file>