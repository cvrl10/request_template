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8227" sheetId="2" r:id="rId2"/>
    <sheet name="200128228" sheetId="3" r:id="rId3"/>
    <sheet name="200128229" sheetId="4" r:id="rId4"/>
    <sheet name="200128230" sheetId="5" r:id="rId5"/>
    <sheet name="200128231" sheetId="6" r:id="rId6"/>
    <sheet name="200128232" sheetId="7" r:id="rId7"/>
    <sheet name="200128233" sheetId="8" r:id="rId8"/>
    <sheet name="200128234" sheetId="9" r:id="rId9"/>
    <sheet name="200128235" sheetId="10" r:id="rId10"/>
    <sheet name="200128236" sheetId="11" r:id="rId11"/>
    <sheet name="200128237" sheetId="12" r:id="rId12"/>
    <sheet name="formula_page" sheetId="13" r:id="rId13"/>
  </sheets>
  <calcPr calcId="124519" fullCalcOnLoad="1"/>
</workbook>
</file>

<file path=xl/sharedStrings.xml><?xml version="1.0" encoding="utf-8"?>
<sst xmlns="http://schemas.openxmlformats.org/spreadsheetml/2006/main" count="446" uniqueCount="100">
  <si>
    <t>Date:</t>
  </si>
  <si>
    <t>Request ID:</t>
  </si>
  <si>
    <t>TEST</t>
  </si>
  <si>
    <t>Microwave</t>
  </si>
  <si>
    <t>Element(s)</t>
  </si>
  <si>
    <t>Co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</si>
  <si>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</si>
  <si>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</si>
  <si>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</si>
  <si>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</si>
  <si>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</si>
  <si>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</si>
  <si>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</si>
  <si>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</si>
  <si>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</si>
  <si>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</si>
  <si>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</si>
  <si>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</si>
  <si>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</si>
  <si>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200128227_1</t>
  </si>
  <si>
    <t>200128227_2</t>
  </si>
  <si>
    <t>200128227_3</t>
  </si>
  <si>
    <t>200128228_1</t>
  </si>
  <si>
    <t>200128228_2</t>
  </si>
  <si>
    <t>200128228_3</t>
  </si>
  <si>
    <t>200128229_1</t>
  </si>
  <si>
    <t>200128229_2</t>
  </si>
  <si>
    <t>200128229_3</t>
  </si>
  <si>
    <t>200128230_1</t>
  </si>
  <si>
    <t>200128230_2</t>
  </si>
  <si>
    <t>200128230_3</t>
  </si>
  <si>
    <t>200128231_1</t>
  </si>
  <si>
    <t>200128231_2</t>
  </si>
  <si>
    <t>200128231_3</t>
  </si>
  <si>
    <t>200128232_1</t>
  </si>
  <si>
    <t>200128232_2</t>
  </si>
  <si>
    <t>200128232_3</t>
  </si>
  <si>
    <t>200128233_1</t>
  </si>
  <si>
    <t>200128233_2</t>
  </si>
  <si>
    <t>200128233_3</t>
  </si>
  <si>
    <t>200128234_1</t>
  </si>
  <si>
    <t>200128234_2</t>
  </si>
  <si>
    <t>200128234_3</t>
  </si>
  <si>
    <t>200128235_1</t>
  </si>
  <si>
    <t>200128235_2</t>
  </si>
  <si>
    <t>200128235_3</t>
  </si>
  <si>
    <t>200128236_1</t>
  </si>
  <si>
    <t>200128236_2</t>
  </si>
  <si>
    <t>200128236_3</t>
  </si>
  <si>
    <t>200128237_1</t>
  </si>
  <si>
    <t>200128237_2</t>
  </si>
  <si>
    <t>200128237_3</t>
  </si>
  <si>
    <t>Katanax</t>
  </si>
  <si>
    <t>Ti</t>
  </si>
  <si>
    <t>LOI temp:</t>
  </si>
  <si>
    <t>sample</t>
  </si>
  <si>
    <t>crucible (g)</t>
  </si>
  <si>
    <t>crucible + sample (g)</t>
  </si>
  <si>
    <t>LOI (%)</t>
  </si>
  <si>
    <t>correction</t>
  </si>
  <si>
    <t>200128227</t>
  </si>
  <si>
    <t>Co ICP analysis</t>
  </si>
  <si>
    <t>Dilution</t>
  </si>
  <si>
    <t>conc. [mg/L]</t>
  </si>
  <si>
    <t>Co_ppm [dried]</t>
  </si>
  <si>
    <t>%Co [dried]</t>
  </si>
  <si>
    <t>co result:</t>
  </si>
  <si>
    <t>co oxide factor:</t>
  </si>
  <si>
    <t>co oxide result:</t>
  </si>
  <si>
    <t>co lot: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</si>
  <si>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</si>
  <si>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</si>
  <si>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</si>
  <si>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</si>
  <si>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</si>
  <si>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</si>
  <si>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</si>
  <si>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Manufacturer: Assurance, 28-73COY exp: 2026-10-30</t>
  </si>
  <si>
    <t>Manufacturer: Assurance, 27-189TIT exp: 2026-08-30</t>
  </si>
  <si>
    <t>Note(s):</t>
  </si>
  <si>
    <t>200128228</t>
  </si>
  <si>
    <t>200128229</t>
  </si>
  <si>
    <t>200128230</t>
  </si>
  <si>
    <t>200128231</t>
  </si>
  <si>
    <t>200128232</t>
  </si>
  <si>
    <t>200128233</t>
  </si>
  <si>
    <t>200128234</t>
  </si>
  <si>
    <t>200128235</t>
  </si>
  <si>
    <t>200128236</t>
  </si>
  <si>
    <t>200128237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</si>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</sst>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71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46177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1" spans="1:3">
      <c r="A21" s="5" t="s">
        <v>23</v>
      </c>
      <c r="B21" s="8"/>
      <c r="C21" s="6"/>
    </row>
    <row r="22" spans="1:3">
      <c r="A22" s="5" t="s">
        <v>24</v>
      </c>
      <c r="B22" s="8"/>
      <c r="C22" s="6"/>
    </row>
    <row r="23" spans="1:3">
      <c r="A23" s="5" t="s">
        <v>25</v>
      </c>
      <c r="B23" s="8"/>
      <c r="C23" s="6"/>
    </row>
    <row r="24" spans="1:3">
      <c r="A24" s="5" t="s">
        <v>26</v>
      </c>
      <c r="B24" s="8"/>
      <c r="C24" s="6"/>
    </row>
    <row r="25" spans="1:3">
      <c r="A25" s="5" t="s">
        <v>27</v>
      </c>
      <c r="B25" s="8"/>
      <c r="C25" s="6"/>
    </row>
    <row r="26" spans="1:3">
      <c r="A26" s="5" t="s">
        <v>28</v>
      </c>
      <c r="B26" s="8"/>
      <c r="C26" s="6"/>
    </row>
    <row r="27" spans="1:3">
      <c r="A27" s="5" t="s">
        <v>29</v>
      </c>
      <c r="B27" s="8"/>
      <c r="C27" s="6"/>
    </row>
    <row r="28" spans="1:3">
      <c r="A28" s="5" t="s">
        <v>30</v>
      </c>
      <c r="B28" s="8"/>
      <c r="C28" s="6"/>
    </row>
    <row r="29" spans="1:3">
      <c r="A29" s="5" t="s">
        <v>31</v>
      </c>
      <c r="B29" s="8"/>
      <c r="C29" s="6"/>
    </row>
    <row r="30" spans="1:3">
      <c r="A30" s="5" t="s">
        <v>32</v>
      </c>
      <c r="B30" s="8"/>
      <c r="C30" s="6"/>
    </row>
    <row r="31" spans="1:3">
      <c r="A31" s="5" t="s">
        <v>33</v>
      </c>
      <c r="B31" s="8"/>
      <c r="C31" s="6"/>
    </row>
    <row r="32" spans="1:3">
      <c r="A32" s="5" t="s">
        <v>34</v>
      </c>
      <c r="B32" s="8"/>
      <c r="C32" s="6"/>
    </row>
    <row r="33" spans="1:3">
      <c r="A33" s="5" t="s">
        <v>35</v>
      </c>
      <c r="B33" s="8"/>
      <c r="C33" s="6"/>
    </row>
    <row r="34" spans="1:3">
      <c r="A34" s="5" t="s">
        <v>36</v>
      </c>
      <c r="B34" s="8"/>
      <c r="C34" s="6"/>
    </row>
    <row r="35" spans="1:3">
      <c r="A35" s="5" t="s">
        <v>37</v>
      </c>
      <c r="B35" s="8"/>
      <c r="C35" s="6"/>
    </row>
    <row r="36" spans="1:3">
      <c r="A36" s="5" t="s">
        <v>38</v>
      </c>
      <c r="B36" s="8"/>
      <c r="C36" s="6"/>
    </row>
    <row r="37" spans="1:3">
      <c r="A37" s="5" t="s">
        <v>39</v>
      </c>
      <c r="B37" s="8"/>
      <c r="C37" s="6"/>
    </row>
    <row r="38" spans="1:3">
      <c r="A38" s="5" t="s">
        <v>40</v>
      </c>
      <c r="B38" s="8"/>
      <c r="C38" s="6"/>
    </row>
    <row r="39" spans="1:3">
      <c r="A39" s="5" t="s">
        <v>41</v>
      </c>
      <c r="B39" s="8"/>
      <c r="C39" s="6"/>
    </row>
    <row r="40" spans="1:3">
      <c r="A40" s="5" t="s">
        <v>42</v>
      </c>
      <c r="B40" s="8"/>
      <c r="C40" s="6"/>
    </row>
    <row r="41" spans="1:3">
      <c r="A41" s="5" t="s">
        <v>43</v>
      </c>
      <c r="B41" s="8"/>
      <c r="C41" s="6"/>
    </row>
    <row r="42" spans="1:3">
      <c r="A42" s="5" t="s">
        <v>44</v>
      </c>
      <c r="B42" s="8"/>
      <c r="C42" s="6"/>
    </row>
    <row r="43" spans="1:3">
      <c r="A43" s="5" t="s">
        <v>45</v>
      </c>
      <c r="B43" s="8"/>
      <c r="C43" s="6"/>
    </row>
    <row r="44" spans="1:3">
      <c r="A44" s="5" t="s">
        <v>46</v>
      </c>
      <c r="B44" s="8"/>
      <c r="C44" s="6"/>
    </row>
    <row r="45" spans="1:3">
      <c r="A45" s="5" t="s">
        <v>47</v>
      </c>
      <c r="B45" s="8"/>
      <c r="C45" s="6"/>
    </row>
    <row r="46" spans="1:3">
      <c r="A46" s="5" t="s">
        <v>48</v>
      </c>
      <c r="B46" s="8"/>
      <c r="C46" s="6"/>
    </row>
    <row r="47" spans="1:3">
      <c r="A47" s="5" t="s">
        <v>49</v>
      </c>
      <c r="B47" s="8"/>
      <c r="C47" s="6"/>
    </row>
    <row r="48" spans="1:3">
      <c r="A48" s="5" t="s">
        <v>50</v>
      </c>
      <c r="B48" s="8"/>
      <c r="C48" s="6"/>
    </row>
    <row r="49" spans="1:3">
      <c r="A49" s="5" t="s">
        <v>51</v>
      </c>
      <c r="B49" s="8"/>
      <c r="C49" s="6"/>
    </row>
    <row r="52" spans="1:3">
      <c r="A52" s="4" t="s">
        <v>52</v>
      </c>
      <c r="B52" s="4"/>
      <c r="C52" s="4"/>
    </row>
    <row r="53" spans="1:3">
      <c r="A53" s="5" t="s">
        <v>4</v>
      </c>
      <c r="B53" s="6" t="s">
        <v>53</v>
      </c>
      <c r="C53" s="6"/>
    </row>
    <row r="54" spans="1:3">
      <c r="A54" s="5" t="s">
        <v>6</v>
      </c>
      <c r="B54" s="6"/>
      <c r="C54" s="6"/>
    </row>
    <row r="55" spans="1:3">
      <c r="A55" s="5" t="s">
        <v>7</v>
      </c>
      <c r="B55" s="6"/>
      <c r="C55" s="6"/>
    </row>
    <row r="56" spans="1:3">
      <c r="A56" s="5" t="s">
        <v>16</v>
      </c>
      <c r="B56" s="5" t="s">
        <v>17</v>
      </c>
      <c r="C56" s="5" t="s">
        <v>18</v>
      </c>
    </row>
    <row r="57" spans="1:3">
      <c r="A57" s="5" t="s">
        <v>19</v>
      </c>
      <c r="B57" s="8"/>
      <c r="C57" s="6">
        <v>250</v>
      </c>
    </row>
    <row r="58" spans="1:3">
      <c r="A58" s="5" t="s">
        <v>20</v>
      </c>
      <c r="B58" s="8"/>
      <c r="C58" s="6">
        <v>250</v>
      </c>
    </row>
    <row r="59" spans="1:3">
      <c r="A59" s="5" t="s">
        <v>21</v>
      </c>
      <c r="B59" s="8"/>
      <c r="C59" s="6">
        <v>250</v>
      </c>
    </row>
    <row r="60" spans="1:3">
      <c r="A60" s="5" t="s">
        <v>22</v>
      </c>
      <c r="B60" s="8"/>
      <c r="C60" s="6">
        <v>250</v>
      </c>
    </row>
    <row r="61" spans="1:3">
      <c r="A61" s="5" t="s">
        <v>23</v>
      </c>
      <c r="B61" s="8"/>
      <c r="C61" s="6">
        <v>250</v>
      </c>
    </row>
    <row r="62" spans="1:3">
      <c r="A62" s="5" t="s">
        <v>24</v>
      </c>
      <c r="B62" s="8"/>
      <c r="C62" s="6">
        <v>250</v>
      </c>
    </row>
    <row r="63" spans="1:3">
      <c r="A63" s="5" t="s">
        <v>25</v>
      </c>
      <c r="B63" s="8"/>
      <c r="C63" s="6">
        <v>250</v>
      </c>
    </row>
    <row r="64" spans="1:3">
      <c r="A64" s="5" t="s">
        <v>26</v>
      </c>
      <c r="B64" s="8"/>
      <c r="C64" s="6">
        <v>250</v>
      </c>
    </row>
    <row r="65" spans="1:3">
      <c r="A65" s="5" t="s">
        <v>27</v>
      </c>
      <c r="B65" s="8"/>
      <c r="C65" s="6">
        <v>250</v>
      </c>
    </row>
    <row r="66" spans="1:3">
      <c r="A66" s="5" t="s">
        <v>28</v>
      </c>
      <c r="B66" s="8"/>
      <c r="C66" s="6">
        <v>250</v>
      </c>
    </row>
    <row r="67" spans="1:3">
      <c r="A67" s="5" t="s">
        <v>29</v>
      </c>
      <c r="B67" s="8"/>
      <c r="C67" s="6">
        <v>250</v>
      </c>
    </row>
    <row r="68" spans="1:3">
      <c r="A68" s="5" t="s">
        <v>30</v>
      </c>
      <c r="B68" s="8"/>
      <c r="C68" s="6">
        <v>250</v>
      </c>
    </row>
    <row r="69" spans="1:3">
      <c r="A69" s="5" t="s">
        <v>31</v>
      </c>
      <c r="B69" s="8"/>
      <c r="C69" s="6">
        <v>250</v>
      </c>
    </row>
    <row r="70" spans="1:3">
      <c r="A70" s="5" t="s">
        <v>32</v>
      </c>
      <c r="B70" s="8"/>
      <c r="C70" s="6">
        <v>250</v>
      </c>
    </row>
    <row r="71" spans="1:3">
      <c r="A71" s="5" t="s">
        <v>33</v>
      </c>
      <c r="B71" s="8"/>
      <c r="C71" s="6">
        <v>250</v>
      </c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52:C52"/>
    <mergeCell ref="B53:C53"/>
    <mergeCell ref="B54:C54"/>
    <mergeCell ref="B55:C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22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60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19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digestion_page!B17</f>
        <v>0</v>
      </c>
      <c r="H11" s="13">
        <f>digestion_page!C17</f>
        <v>0</v>
      </c>
      <c r="I11" s="13">
        <f>(LEFT(B11,FIND("/",B11)-1)/RIGHT(B11,LEN(B11)-FIND("/", B11)))</f>
        <v>0</v>
      </c>
    </row>
    <row r="12" spans="1:9">
      <c r="A12" s="5" t="s">
        <v>20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digestion_page!B18</f>
        <v>0</v>
      </c>
      <c r="H12" s="13">
        <f>digestion_page!C18</f>
        <v>0</v>
      </c>
      <c r="I12" s="13">
        <f>(LEFT(B12,FIND("/",B12)-1)/RIGHT(B12,LEN(B12)-FIND("/", B12)))</f>
        <v>0</v>
      </c>
    </row>
    <row r="13" spans="1:9">
      <c r="A13" s="5" t="s">
        <v>21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digestion_page!B19</f>
        <v>0</v>
      </c>
      <c r="H13" s="13">
        <f>digestion_page!C19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9">
      <c r="A17" s="9" t="s">
        <v>67</v>
      </c>
      <c r="B17" s="9"/>
      <c r="C17" s="3"/>
    </row>
    <row r="18" spans="1:9">
      <c r="A18" s="9" t="s">
        <v>68</v>
      </c>
      <c r="B18" s="9"/>
      <c r="C18" s="15">
        <f>AVERAGE(E11:E13)*(C17)</f>
        <v>0</v>
      </c>
    </row>
    <row r="19" spans="1:9">
      <c r="A19" s="9" t="s">
        <v>69</v>
      </c>
      <c r="B19" s="9"/>
      <c r="C19" s="16" t="s">
        <v>77</v>
      </c>
      <c r="D19" s="16"/>
      <c r="E19" s="16"/>
      <c r="F19" s="16"/>
    </row>
    <row r="21" spans="1:9">
      <c r="A21" s="3" t="s">
        <v>70</v>
      </c>
      <c r="B21" s="3"/>
    </row>
    <row r="22" spans="1:9">
      <c r="A22" s="5" t="s">
        <v>55</v>
      </c>
      <c r="B22" s="5" t="s">
        <v>62</v>
      </c>
      <c r="C22" s="5" t="s">
        <v>63</v>
      </c>
      <c r="D22" s="5" t="s">
        <v>71</v>
      </c>
      <c r="E22" s="5" t="s">
        <v>72</v>
      </c>
    </row>
    <row r="23" spans="1:9">
      <c r="A23" s="5" t="s">
        <v>19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digestion_page!B57</f>
        <v>0</v>
      </c>
      <c r="H23" s="13">
        <f>digestion_page!C57</f>
        <v>0</v>
      </c>
      <c r="I23" s="13">
        <f>(LEFT(B23,FIND("/",B23)-1)/RIGHT(B23,LEN(B23)-FIND("/", B23)))</f>
        <v>0</v>
      </c>
    </row>
    <row r="24" spans="1:9">
      <c r="A24" s="5" t="s">
        <v>20</v>
      </c>
      <c r="B24" s="6">
        <f>"1/1"</f>
        <v>0</v>
      </c>
      <c r="C24" s="12"/>
      <c r="D24" s="11">
        <f>((C24)*(H24)*(I24))/(G24*$F$7)</f>
        <v>0</v>
      </c>
      <c r="E24" s="11">
        <f>D24/10000</f>
        <v>0</v>
      </c>
      <c r="G24" s="13">
        <f>digestion_page!B58</f>
        <v>0</v>
      </c>
      <c r="H24" s="13">
        <f>digestion_page!C58</f>
        <v>0</v>
      </c>
      <c r="I24" s="13">
        <f>(LEFT(B24,FIND("/",B24)-1)/RIGHT(B24,LEN(B24)-FIND("/", B24)))</f>
        <v>0</v>
      </c>
    </row>
    <row r="25" spans="1:9">
      <c r="A25" s="5" t="s">
        <v>21</v>
      </c>
      <c r="B25" s="6">
        <f>"1/1"</f>
        <v>0</v>
      </c>
      <c r="C25" s="12"/>
      <c r="D25" s="11">
        <f>((C25)*(H25)*(I25))/(G25*$F$7)</f>
        <v>0</v>
      </c>
      <c r="E25" s="11">
        <f>D25/10000</f>
        <v>0</v>
      </c>
      <c r="G25" s="13">
        <f>digestion_page!B59</f>
        <v>0</v>
      </c>
      <c r="H25" s="13">
        <f>digestion_page!C59</f>
        <v>0</v>
      </c>
      <c r="I25" s="13">
        <f>(LEFT(B25,FIND("/",B25)-1)/RIGHT(B25,LEN(B25)-FIND("/", B25)))</f>
        <v>0</v>
      </c>
    </row>
    <row r="27" spans="1:9">
      <c r="A27" s="9" t="s">
        <v>73</v>
      </c>
      <c r="B27" s="9"/>
      <c r="C27" s="14">
        <f>AVERAGE(D23:D25)</f>
        <v>0</v>
      </c>
    </row>
    <row r="28" spans="1:9">
      <c r="A28" s="9" t="s">
        <v>73</v>
      </c>
      <c r="B28" s="9"/>
      <c r="C28" s="15">
        <f>AVERAGE(E23:E25)</f>
        <v>0</v>
      </c>
    </row>
    <row r="29" spans="1:9">
      <c r="A29" s="9" t="s">
        <v>74</v>
      </c>
      <c r="B29" s="9"/>
      <c r="C29" s="3"/>
    </row>
    <row r="30" spans="1:9">
      <c r="A30" s="9" t="s">
        <v>75</v>
      </c>
      <c r="B30" s="9"/>
      <c r="C30" s="15">
        <f>AVERAGE(E23:E25)*(C29)</f>
        <v>0</v>
      </c>
    </row>
    <row r="31" spans="1:9">
      <c r="A31" s="9" t="s">
        <v>76</v>
      </c>
      <c r="B31" s="9"/>
      <c r="C31" s="16" t="s">
        <v>78</v>
      </c>
      <c r="D31" s="16"/>
      <c r="E31" s="16"/>
      <c r="F31" s="16"/>
    </row>
    <row r="33" spans="2:6">
      <c r="B33" s="9" t="s">
        <v>79</v>
      </c>
      <c r="C33" s="17"/>
      <c r="D33" s="17"/>
      <c r="E33" s="17"/>
      <c r="F33" s="17"/>
    </row>
    <row r="34" spans="2:6">
      <c r="C34" s="17"/>
      <c r="D34" s="17"/>
      <c r="E34" s="17"/>
      <c r="F34" s="17"/>
    </row>
    <row r="35" spans="2:6">
      <c r="C35" s="17"/>
      <c r="D35" s="17"/>
      <c r="E35" s="17"/>
      <c r="F35" s="17"/>
    </row>
  </sheetData>
  <mergeCells count="15">
    <mergeCell ref="A9:B9"/>
    <mergeCell ref="A15:B15"/>
    <mergeCell ref="A16:B16"/>
    <mergeCell ref="A17:B17"/>
    <mergeCell ref="A18:B18"/>
    <mergeCell ref="A19:B19"/>
    <mergeCell ref="C19:F19"/>
    <mergeCell ref="A21:B21"/>
    <mergeCell ref="A27:B27"/>
    <mergeCell ref="A28:B28"/>
    <mergeCell ref="A29:B29"/>
    <mergeCell ref="A30:B30"/>
    <mergeCell ref="A31:B31"/>
    <mergeCell ref="C31:F31"/>
    <mergeCell ref="C33:F35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conditionalFormatting sqref="C31:F31">
    <cfRule type="containsBlanks" dxfId="0" priority="3">
      <formula>LEN(TRIM(C31))=0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22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80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22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digestion_page!B20</f>
        <v>0</v>
      </c>
      <c r="H11" s="13">
        <f>digestion_page!C20</f>
        <v>0</v>
      </c>
      <c r="I11" s="13">
        <f>(LEFT(B11,FIND("/",B11)-1)/RIGHT(B11,LEN(B11)-FIND("/", B11)))</f>
        <v>0</v>
      </c>
    </row>
    <row r="12" spans="1:9">
      <c r="A12" s="5" t="s">
        <v>23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digestion_page!B21</f>
        <v>0</v>
      </c>
      <c r="H12" s="13">
        <f>digestion_page!C21</f>
        <v>0</v>
      </c>
      <c r="I12" s="13">
        <f>(LEFT(B12,FIND("/",B12)-1)/RIGHT(B12,LEN(B12)-FIND("/", B12)))</f>
        <v>0</v>
      </c>
    </row>
    <row r="13" spans="1:9">
      <c r="A13" s="5" t="s">
        <v>24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digestion_page!B22</f>
        <v>0</v>
      </c>
      <c r="H13" s="13">
        <f>digestion_page!C22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9">
      <c r="A17" s="9" t="s">
        <v>67</v>
      </c>
      <c r="B17" s="9"/>
      <c r="C17" s="3"/>
    </row>
    <row r="18" spans="1:9">
      <c r="A18" s="9" t="s">
        <v>68</v>
      </c>
      <c r="B18" s="9"/>
      <c r="C18" s="15">
        <f>AVERAGE(E11:E13)*(C17)</f>
        <v>0</v>
      </c>
    </row>
    <row r="19" spans="1:9">
      <c r="A19" s="9" t="s">
        <v>69</v>
      </c>
      <c r="B19" s="9"/>
      <c r="C19" s="16" t="s">
        <v>77</v>
      </c>
      <c r="D19" s="16"/>
      <c r="E19" s="16"/>
      <c r="F19" s="16"/>
    </row>
    <row r="21" spans="1:9">
      <c r="A21" s="3" t="s">
        <v>70</v>
      </c>
      <c r="B21" s="3"/>
    </row>
    <row r="22" spans="1:9">
      <c r="A22" s="5" t="s">
        <v>55</v>
      </c>
      <c r="B22" s="5" t="s">
        <v>62</v>
      </c>
      <c r="C22" s="5" t="s">
        <v>63</v>
      </c>
      <c r="D22" s="5" t="s">
        <v>71</v>
      </c>
      <c r="E22" s="5" t="s">
        <v>72</v>
      </c>
    </row>
    <row r="23" spans="1:9">
      <c r="A23" s="5" t="s">
        <v>22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digestion_page!B60</f>
        <v>0</v>
      </c>
      <c r="H23" s="13">
        <f>digestion_page!C60</f>
        <v>0</v>
      </c>
      <c r="I23" s="13">
        <f>(LEFT(B23,FIND("/",B23)-1)/RIGHT(B23,LEN(B23)-FIND("/", B23)))</f>
        <v>0</v>
      </c>
    </row>
    <row r="24" spans="1:9">
      <c r="A24" s="5" t="s">
        <v>23</v>
      </c>
      <c r="B24" s="6">
        <f>"1/1"</f>
        <v>0</v>
      </c>
      <c r="C24" s="12"/>
      <c r="D24" s="11">
        <f>((C24)*(H24)*(I24))/(G24*$F$7)</f>
        <v>0</v>
      </c>
      <c r="E24" s="11">
        <f>D24/10000</f>
        <v>0</v>
      </c>
      <c r="G24" s="13">
        <f>digestion_page!B61</f>
        <v>0</v>
      </c>
      <c r="H24" s="13">
        <f>digestion_page!C61</f>
        <v>0</v>
      </c>
      <c r="I24" s="13">
        <f>(LEFT(B24,FIND("/",B24)-1)/RIGHT(B24,LEN(B24)-FIND("/", B24)))</f>
        <v>0</v>
      </c>
    </row>
    <row r="25" spans="1:9">
      <c r="A25" s="5" t="s">
        <v>24</v>
      </c>
      <c r="B25" s="6">
        <f>"1/1"</f>
        <v>0</v>
      </c>
      <c r="C25" s="12"/>
      <c r="D25" s="11">
        <f>((C25)*(H25)*(I25))/(G25*$F$7)</f>
        <v>0</v>
      </c>
      <c r="E25" s="11">
        <f>D25/10000</f>
        <v>0</v>
      </c>
      <c r="G25" s="13">
        <f>digestion_page!B62</f>
        <v>0</v>
      </c>
      <c r="H25" s="13">
        <f>digestion_page!C62</f>
        <v>0</v>
      </c>
      <c r="I25" s="13">
        <f>(LEFT(B25,FIND("/",B25)-1)/RIGHT(B25,LEN(B25)-FIND("/", B25)))</f>
        <v>0</v>
      </c>
    </row>
    <row r="27" spans="1:9">
      <c r="A27" s="9" t="s">
        <v>73</v>
      </c>
      <c r="B27" s="9"/>
      <c r="C27" s="14">
        <f>AVERAGE(D23:D25)</f>
        <v>0</v>
      </c>
    </row>
    <row r="28" spans="1:9">
      <c r="A28" s="9" t="s">
        <v>73</v>
      </c>
      <c r="B28" s="9"/>
      <c r="C28" s="15">
        <f>AVERAGE(E23:E25)</f>
        <v>0</v>
      </c>
    </row>
    <row r="29" spans="1:9">
      <c r="A29" s="9" t="s">
        <v>74</v>
      </c>
      <c r="B29" s="9"/>
      <c r="C29" s="3"/>
    </row>
    <row r="30" spans="1:9">
      <c r="A30" s="9" t="s">
        <v>75</v>
      </c>
      <c r="B30" s="9"/>
      <c r="C30" s="15">
        <f>AVERAGE(E23:E25)*(C29)</f>
        <v>0</v>
      </c>
    </row>
    <row r="31" spans="1:9">
      <c r="A31" s="9" t="s">
        <v>76</v>
      </c>
      <c r="B31" s="9"/>
      <c r="C31" s="16" t="s">
        <v>78</v>
      </c>
      <c r="D31" s="16"/>
      <c r="E31" s="16"/>
      <c r="F31" s="16"/>
    </row>
    <row r="33" spans="2:6">
      <c r="B33" s="9" t="s">
        <v>79</v>
      </c>
      <c r="C33" s="17"/>
      <c r="D33" s="17"/>
      <c r="E33" s="17"/>
      <c r="F33" s="17"/>
    </row>
    <row r="34" spans="2:6">
      <c r="C34" s="17"/>
      <c r="D34" s="17"/>
      <c r="E34" s="17"/>
      <c r="F34" s="17"/>
    </row>
    <row r="35" spans="2:6">
      <c r="C35" s="17"/>
      <c r="D35" s="17"/>
      <c r="E35" s="17"/>
      <c r="F35" s="17"/>
    </row>
  </sheetData>
  <mergeCells count="15">
    <mergeCell ref="A9:B9"/>
    <mergeCell ref="A15:B15"/>
    <mergeCell ref="A16:B16"/>
    <mergeCell ref="A17:B17"/>
    <mergeCell ref="A18:B18"/>
    <mergeCell ref="A19:B19"/>
    <mergeCell ref="C19:F19"/>
    <mergeCell ref="A21:B21"/>
    <mergeCell ref="A27:B27"/>
    <mergeCell ref="A28:B28"/>
    <mergeCell ref="A29:B29"/>
    <mergeCell ref="A30:B30"/>
    <mergeCell ref="A31:B31"/>
    <mergeCell ref="C31:F31"/>
    <mergeCell ref="C33:F35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conditionalFormatting sqref="C31:F31">
    <cfRule type="containsBlanks" dxfId="0" priority="3">
      <formula>LEN(TRIM(C31))=0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22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81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25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digestion_page!B23</f>
        <v>0</v>
      </c>
      <c r="H11" s="13">
        <f>digestion_page!C23</f>
        <v>0</v>
      </c>
      <c r="I11" s="13">
        <f>(LEFT(B11,FIND("/",B11)-1)/RIGHT(B11,LEN(B11)-FIND("/", B11)))</f>
        <v>0</v>
      </c>
    </row>
    <row r="12" spans="1:9">
      <c r="A12" s="5" t="s">
        <v>26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digestion_page!B24</f>
        <v>0</v>
      </c>
      <c r="H12" s="13">
        <f>digestion_page!C24</f>
        <v>0</v>
      </c>
      <c r="I12" s="13">
        <f>(LEFT(B12,FIND("/",B12)-1)/RIGHT(B12,LEN(B12)-FIND("/", B12)))</f>
        <v>0</v>
      </c>
    </row>
    <row r="13" spans="1:9">
      <c r="A13" s="5" t="s">
        <v>27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digestion_page!B25</f>
        <v>0</v>
      </c>
      <c r="H13" s="13">
        <f>digestion_page!C25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9">
      <c r="A17" s="9" t="s">
        <v>67</v>
      </c>
      <c r="B17" s="9"/>
      <c r="C17" s="3"/>
    </row>
    <row r="18" spans="1:9">
      <c r="A18" s="9" t="s">
        <v>68</v>
      </c>
      <c r="B18" s="9"/>
      <c r="C18" s="15">
        <f>AVERAGE(E11:E13)*(C17)</f>
        <v>0</v>
      </c>
    </row>
    <row r="19" spans="1:9">
      <c r="A19" s="9" t="s">
        <v>69</v>
      </c>
      <c r="B19" s="9"/>
      <c r="C19" s="16" t="s">
        <v>77</v>
      </c>
      <c r="D19" s="16"/>
      <c r="E19" s="16"/>
      <c r="F19" s="16"/>
    </row>
    <row r="21" spans="1:9">
      <c r="A21" s="3" t="s">
        <v>70</v>
      </c>
      <c r="B21" s="3"/>
    </row>
    <row r="22" spans="1:9">
      <c r="A22" s="5" t="s">
        <v>55</v>
      </c>
      <c r="B22" s="5" t="s">
        <v>62</v>
      </c>
      <c r="C22" s="5" t="s">
        <v>63</v>
      </c>
      <c r="D22" s="5" t="s">
        <v>71</v>
      </c>
      <c r="E22" s="5" t="s">
        <v>72</v>
      </c>
    </row>
    <row r="23" spans="1:9">
      <c r="A23" s="5" t="s">
        <v>25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digestion_page!B63</f>
        <v>0</v>
      </c>
      <c r="H23" s="13">
        <f>digestion_page!C63</f>
        <v>0</v>
      </c>
      <c r="I23" s="13">
        <f>(LEFT(B23,FIND("/",B23)-1)/RIGHT(B23,LEN(B23)-FIND("/", B23)))</f>
        <v>0</v>
      </c>
    </row>
    <row r="24" spans="1:9">
      <c r="A24" s="5" t="s">
        <v>26</v>
      </c>
      <c r="B24" s="6">
        <f>"1/1"</f>
        <v>0</v>
      </c>
      <c r="C24" s="12"/>
      <c r="D24" s="11">
        <f>((C24)*(H24)*(I24))/(G24*$F$7)</f>
        <v>0</v>
      </c>
      <c r="E24" s="11">
        <f>D24/10000</f>
        <v>0</v>
      </c>
      <c r="G24" s="13">
        <f>digestion_page!B64</f>
        <v>0</v>
      </c>
      <c r="H24" s="13">
        <f>digestion_page!C64</f>
        <v>0</v>
      </c>
      <c r="I24" s="13">
        <f>(LEFT(B24,FIND("/",B24)-1)/RIGHT(B24,LEN(B24)-FIND("/", B24)))</f>
        <v>0</v>
      </c>
    </row>
    <row r="25" spans="1:9">
      <c r="A25" s="5" t="s">
        <v>27</v>
      </c>
      <c r="B25" s="6">
        <f>"1/1"</f>
        <v>0</v>
      </c>
      <c r="C25" s="12"/>
      <c r="D25" s="11">
        <f>((C25)*(H25)*(I25))/(G25*$F$7)</f>
        <v>0</v>
      </c>
      <c r="E25" s="11">
        <f>D25/10000</f>
        <v>0</v>
      </c>
      <c r="G25" s="13">
        <f>digestion_page!B65</f>
        <v>0</v>
      </c>
      <c r="H25" s="13">
        <f>digestion_page!C65</f>
        <v>0</v>
      </c>
      <c r="I25" s="13">
        <f>(LEFT(B25,FIND("/",B25)-1)/RIGHT(B25,LEN(B25)-FIND("/", B25)))</f>
        <v>0</v>
      </c>
    </row>
    <row r="27" spans="1:9">
      <c r="A27" s="9" t="s">
        <v>73</v>
      </c>
      <c r="B27" s="9"/>
      <c r="C27" s="14">
        <f>AVERAGE(D23:D25)</f>
        <v>0</v>
      </c>
    </row>
    <row r="28" spans="1:9">
      <c r="A28" s="9" t="s">
        <v>73</v>
      </c>
      <c r="B28" s="9"/>
      <c r="C28" s="15">
        <f>AVERAGE(E23:E25)</f>
        <v>0</v>
      </c>
    </row>
    <row r="29" spans="1:9">
      <c r="A29" s="9" t="s">
        <v>74</v>
      </c>
      <c r="B29" s="9"/>
      <c r="C29" s="3"/>
    </row>
    <row r="30" spans="1:9">
      <c r="A30" s="9" t="s">
        <v>75</v>
      </c>
      <c r="B30" s="9"/>
      <c r="C30" s="15">
        <f>AVERAGE(E23:E25)*(C29)</f>
        <v>0</v>
      </c>
    </row>
    <row r="31" spans="1:9">
      <c r="A31" s="9" t="s">
        <v>76</v>
      </c>
      <c r="B31" s="9"/>
      <c r="C31" s="16" t="s">
        <v>78</v>
      </c>
      <c r="D31" s="16"/>
      <c r="E31" s="16"/>
      <c r="F31" s="16"/>
    </row>
    <row r="33" spans="2:6">
      <c r="B33" s="9" t="s">
        <v>79</v>
      </c>
      <c r="C33" s="17"/>
      <c r="D33" s="17"/>
      <c r="E33" s="17"/>
      <c r="F33" s="17"/>
    </row>
    <row r="34" spans="2:6">
      <c r="C34" s="17"/>
      <c r="D34" s="17"/>
      <c r="E34" s="17"/>
      <c r="F34" s="17"/>
    </row>
    <row r="35" spans="2:6">
      <c r="C35" s="17"/>
      <c r="D35" s="17"/>
      <c r="E35" s="17"/>
      <c r="F35" s="17"/>
    </row>
  </sheetData>
  <mergeCells count="15">
    <mergeCell ref="A9:B9"/>
    <mergeCell ref="A15:B15"/>
    <mergeCell ref="A16:B16"/>
    <mergeCell ref="A17:B17"/>
    <mergeCell ref="A18:B18"/>
    <mergeCell ref="A19:B19"/>
    <mergeCell ref="C19:F19"/>
    <mergeCell ref="A21:B21"/>
    <mergeCell ref="A27:B27"/>
    <mergeCell ref="A28:B28"/>
    <mergeCell ref="A29:B29"/>
    <mergeCell ref="A30:B30"/>
    <mergeCell ref="A31:B31"/>
    <mergeCell ref="C31:F31"/>
    <mergeCell ref="C33:F35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conditionalFormatting sqref="C31:F31">
    <cfRule type="containsBlanks" dxfId="0" priority="3">
      <formula>LEN(TRIM(C31))=0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3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22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82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28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digestion_page!B26</f>
        <v>0</v>
      </c>
      <c r="H11" s="13">
        <f>digestion_page!C26</f>
        <v>0</v>
      </c>
      <c r="I11" s="13">
        <f>(LEFT(B11,FIND("/",B11)-1)/RIGHT(B11,LEN(B11)-FIND("/", B11)))</f>
        <v>0</v>
      </c>
    </row>
    <row r="12" spans="1:9">
      <c r="A12" s="5" t="s">
        <v>29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digestion_page!B27</f>
        <v>0</v>
      </c>
      <c r="H12" s="13">
        <f>digestion_page!C27</f>
        <v>0</v>
      </c>
      <c r="I12" s="13">
        <f>(LEFT(B12,FIND("/",B12)-1)/RIGHT(B12,LEN(B12)-FIND("/", B12)))</f>
        <v>0</v>
      </c>
    </row>
    <row r="13" spans="1:9">
      <c r="A13" s="5" t="s">
        <v>30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digestion_page!B28</f>
        <v>0</v>
      </c>
      <c r="H13" s="13">
        <f>digestion_page!C28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9">
      <c r="A17" s="9" t="s">
        <v>67</v>
      </c>
      <c r="B17" s="9"/>
      <c r="C17" s="3"/>
    </row>
    <row r="18" spans="1:9">
      <c r="A18" s="9" t="s">
        <v>68</v>
      </c>
      <c r="B18" s="9"/>
      <c r="C18" s="15">
        <f>AVERAGE(E11:E13)*(C17)</f>
        <v>0</v>
      </c>
    </row>
    <row r="19" spans="1:9">
      <c r="A19" s="9" t="s">
        <v>69</v>
      </c>
      <c r="B19" s="9"/>
      <c r="C19" s="16" t="s">
        <v>77</v>
      </c>
      <c r="D19" s="16"/>
      <c r="E19" s="16"/>
      <c r="F19" s="16"/>
    </row>
    <row r="21" spans="1:9">
      <c r="A21" s="3" t="s">
        <v>70</v>
      </c>
      <c r="B21" s="3"/>
    </row>
    <row r="22" spans="1:9">
      <c r="A22" s="5" t="s">
        <v>55</v>
      </c>
      <c r="B22" s="5" t="s">
        <v>62</v>
      </c>
      <c r="C22" s="5" t="s">
        <v>63</v>
      </c>
      <c r="D22" s="5" t="s">
        <v>71</v>
      </c>
      <c r="E22" s="5" t="s">
        <v>72</v>
      </c>
    </row>
    <row r="23" spans="1:9">
      <c r="A23" s="5" t="s">
        <v>28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digestion_page!B66</f>
        <v>0</v>
      </c>
      <c r="H23" s="13">
        <f>digestion_page!C66</f>
        <v>0</v>
      </c>
      <c r="I23" s="13">
        <f>(LEFT(B23,FIND("/",B23)-1)/RIGHT(B23,LEN(B23)-FIND("/", B23)))</f>
        <v>0</v>
      </c>
    </row>
    <row r="24" spans="1:9">
      <c r="A24" s="5" t="s">
        <v>29</v>
      </c>
      <c r="B24" s="6">
        <f>"1/1"</f>
        <v>0</v>
      </c>
      <c r="C24" s="12"/>
      <c r="D24" s="11">
        <f>((C24)*(H24)*(I24))/(G24*$F$7)</f>
        <v>0</v>
      </c>
      <c r="E24" s="11">
        <f>D24/10000</f>
        <v>0</v>
      </c>
      <c r="G24" s="13">
        <f>digestion_page!B67</f>
        <v>0</v>
      </c>
      <c r="H24" s="13">
        <f>digestion_page!C67</f>
        <v>0</v>
      </c>
      <c r="I24" s="13">
        <f>(LEFT(B24,FIND("/",B24)-1)/RIGHT(B24,LEN(B24)-FIND("/", B24)))</f>
        <v>0</v>
      </c>
    </row>
    <row r="25" spans="1:9">
      <c r="A25" s="5" t="s">
        <v>30</v>
      </c>
      <c r="B25" s="6">
        <f>"1/1"</f>
        <v>0</v>
      </c>
      <c r="C25" s="12"/>
      <c r="D25" s="11">
        <f>((C25)*(H25)*(I25))/(G25*$F$7)</f>
        <v>0</v>
      </c>
      <c r="E25" s="11">
        <f>D25/10000</f>
        <v>0</v>
      </c>
      <c r="G25" s="13">
        <f>digestion_page!B68</f>
        <v>0</v>
      </c>
      <c r="H25" s="13">
        <f>digestion_page!C68</f>
        <v>0</v>
      </c>
      <c r="I25" s="13">
        <f>(LEFT(B25,FIND("/",B25)-1)/RIGHT(B25,LEN(B25)-FIND("/", B25)))</f>
        <v>0</v>
      </c>
    </row>
    <row r="27" spans="1:9">
      <c r="A27" s="9" t="s">
        <v>73</v>
      </c>
      <c r="B27" s="9"/>
      <c r="C27" s="14">
        <f>AVERAGE(D23:D25)</f>
        <v>0</v>
      </c>
    </row>
    <row r="28" spans="1:9">
      <c r="A28" s="9" t="s">
        <v>73</v>
      </c>
      <c r="B28" s="9"/>
      <c r="C28" s="15">
        <f>AVERAGE(E23:E25)</f>
        <v>0</v>
      </c>
    </row>
    <row r="29" spans="1:9">
      <c r="A29" s="9" t="s">
        <v>74</v>
      </c>
      <c r="B29" s="9"/>
      <c r="C29" s="3"/>
    </row>
    <row r="30" spans="1:9">
      <c r="A30" s="9" t="s">
        <v>75</v>
      </c>
      <c r="B30" s="9"/>
      <c r="C30" s="15">
        <f>AVERAGE(E23:E25)*(C29)</f>
        <v>0</v>
      </c>
    </row>
    <row r="31" spans="1:9">
      <c r="A31" s="9" t="s">
        <v>76</v>
      </c>
      <c r="B31" s="9"/>
      <c r="C31" s="16" t="s">
        <v>78</v>
      </c>
      <c r="D31" s="16"/>
      <c r="E31" s="16"/>
      <c r="F31" s="16"/>
    </row>
    <row r="33" spans="2:6">
      <c r="B33" s="9" t="s">
        <v>79</v>
      </c>
      <c r="C33" s="17"/>
      <c r="D33" s="17"/>
      <c r="E33" s="17"/>
      <c r="F33" s="17"/>
    </row>
    <row r="34" spans="2:6">
      <c r="C34" s="17"/>
      <c r="D34" s="17"/>
      <c r="E34" s="17"/>
      <c r="F34" s="17"/>
    </row>
    <row r="35" spans="2:6">
      <c r="C35" s="17"/>
      <c r="D35" s="17"/>
      <c r="E35" s="17"/>
      <c r="F35" s="17"/>
    </row>
  </sheetData>
  <mergeCells count="15">
    <mergeCell ref="A9:B9"/>
    <mergeCell ref="A15:B15"/>
    <mergeCell ref="A16:B16"/>
    <mergeCell ref="A17:B17"/>
    <mergeCell ref="A18:B18"/>
    <mergeCell ref="A19:B19"/>
    <mergeCell ref="C19:F19"/>
    <mergeCell ref="A21:B21"/>
    <mergeCell ref="A27:B27"/>
    <mergeCell ref="A28:B28"/>
    <mergeCell ref="A29:B29"/>
    <mergeCell ref="A30:B30"/>
    <mergeCell ref="A31:B31"/>
    <mergeCell ref="C31:F31"/>
    <mergeCell ref="C33:F35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conditionalFormatting sqref="C31:F31">
    <cfRule type="containsBlanks" dxfId="0" priority="3">
      <formula>LEN(TRIM(C31))=0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3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22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83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31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digestion_page!B29</f>
        <v>0</v>
      </c>
      <c r="H11" s="13">
        <f>digestion_page!C29</f>
        <v>0</v>
      </c>
      <c r="I11" s="13">
        <f>(LEFT(B11,FIND("/",B11)-1)/RIGHT(B11,LEN(B11)-FIND("/", B11)))</f>
        <v>0</v>
      </c>
    </row>
    <row r="12" spans="1:9">
      <c r="A12" s="5" t="s">
        <v>32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digestion_page!B30</f>
        <v>0</v>
      </c>
      <c r="H12" s="13">
        <f>digestion_page!C30</f>
        <v>0</v>
      </c>
      <c r="I12" s="13">
        <f>(LEFT(B12,FIND("/",B12)-1)/RIGHT(B12,LEN(B12)-FIND("/", B12)))</f>
        <v>0</v>
      </c>
    </row>
    <row r="13" spans="1:9">
      <c r="A13" s="5" t="s">
        <v>33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digestion_page!B31</f>
        <v>0</v>
      </c>
      <c r="H13" s="13">
        <f>digestion_page!C31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9">
      <c r="A17" s="9" t="s">
        <v>67</v>
      </c>
      <c r="B17" s="9"/>
      <c r="C17" s="3"/>
    </row>
    <row r="18" spans="1:9">
      <c r="A18" s="9" t="s">
        <v>68</v>
      </c>
      <c r="B18" s="9"/>
      <c r="C18" s="15">
        <f>AVERAGE(E11:E13)*(C17)</f>
        <v>0</v>
      </c>
    </row>
    <row r="19" spans="1:9">
      <c r="A19" s="9" t="s">
        <v>69</v>
      </c>
      <c r="B19" s="9"/>
      <c r="C19" s="16" t="s">
        <v>77</v>
      </c>
      <c r="D19" s="16"/>
      <c r="E19" s="16"/>
      <c r="F19" s="16"/>
    </row>
    <row r="21" spans="1:9">
      <c r="A21" s="3" t="s">
        <v>70</v>
      </c>
      <c r="B21" s="3"/>
    </row>
    <row r="22" spans="1:9">
      <c r="A22" s="5" t="s">
        <v>55</v>
      </c>
      <c r="B22" s="5" t="s">
        <v>62</v>
      </c>
      <c r="C22" s="5" t="s">
        <v>63</v>
      </c>
      <c r="D22" s="5" t="s">
        <v>71</v>
      </c>
      <c r="E22" s="5" t="s">
        <v>72</v>
      </c>
    </row>
    <row r="23" spans="1:9">
      <c r="A23" s="5" t="s">
        <v>31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digestion_page!B69</f>
        <v>0</v>
      </c>
      <c r="H23" s="13">
        <f>digestion_page!C69</f>
        <v>0</v>
      </c>
      <c r="I23" s="13">
        <f>(LEFT(B23,FIND("/",B23)-1)/RIGHT(B23,LEN(B23)-FIND("/", B23)))</f>
        <v>0</v>
      </c>
    </row>
    <row r="24" spans="1:9">
      <c r="A24" s="5" t="s">
        <v>32</v>
      </c>
      <c r="B24" s="6">
        <f>"1/1"</f>
        <v>0</v>
      </c>
      <c r="C24" s="12"/>
      <c r="D24" s="11">
        <f>((C24)*(H24)*(I24))/(G24*$F$7)</f>
        <v>0</v>
      </c>
      <c r="E24" s="11">
        <f>D24/10000</f>
        <v>0</v>
      </c>
      <c r="G24" s="13">
        <f>digestion_page!B70</f>
        <v>0</v>
      </c>
      <c r="H24" s="13">
        <f>digestion_page!C70</f>
        <v>0</v>
      </c>
      <c r="I24" s="13">
        <f>(LEFT(B24,FIND("/",B24)-1)/RIGHT(B24,LEN(B24)-FIND("/", B24)))</f>
        <v>0</v>
      </c>
    </row>
    <row r="25" spans="1:9">
      <c r="A25" s="5" t="s">
        <v>33</v>
      </c>
      <c r="B25" s="6">
        <f>"1/1"</f>
        <v>0</v>
      </c>
      <c r="C25" s="12"/>
      <c r="D25" s="11">
        <f>((C25)*(H25)*(I25))/(G25*$F$7)</f>
        <v>0</v>
      </c>
      <c r="E25" s="11">
        <f>D25/10000</f>
        <v>0</v>
      </c>
      <c r="G25" s="13">
        <f>digestion_page!B71</f>
        <v>0</v>
      </c>
      <c r="H25" s="13">
        <f>digestion_page!C71</f>
        <v>0</v>
      </c>
      <c r="I25" s="13">
        <f>(LEFT(B25,FIND("/",B25)-1)/RIGHT(B25,LEN(B25)-FIND("/", B25)))</f>
        <v>0</v>
      </c>
    </row>
    <row r="27" spans="1:9">
      <c r="A27" s="9" t="s">
        <v>73</v>
      </c>
      <c r="B27" s="9"/>
      <c r="C27" s="14">
        <f>AVERAGE(D23:D25)</f>
        <v>0</v>
      </c>
    </row>
    <row r="28" spans="1:9">
      <c r="A28" s="9" t="s">
        <v>73</v>
      </c>
      <c r="B28" s="9"/>
      <c r="C28" s="15">
        <f>AVERAGE(E23:E25)</f>
        <v>0</v>
      </c>
    </row>
    <row r="29" spans="1:9">
      <c r="A29" s="9" t="s">
        <v>74</v>
      </c>
      <c r="B29" s="9"/>
      <c r="C29" s="3"/>
    </row>
    <row r="30" spans="1:9">
      <c r="A30" s="9" t="s">
        <v>75</v>
      </c>
      <c r="B30" s="9"/>
      <c r="C30" s="15">
        <f>AVERAGE(E23:E25)*(C29)</f>
        <v>0</v>
      </c>
    </row>
    <row r="31" spans="1:9">
      <c r="A31" s="9" t="s">
        <v>76</v>
      </c>
      <c r="B31" s="9"/>
      <c r="C31" s="16" t="s">
        <v>78</v>
      </c>
      <c r="D31" s="16"/>
      <c r="E31" s="16"/>
      <c r="F31" s="16"/>
    </row>
    <row r="33" spans="2:6">
      <c r="B33" s="9" t="s">
        <v>79</v>
      </c>
      <c r="C33" s="17"/>
      <c r="D33" s="17"/>
      <c r="E33" s="17"/>
      <c r="F33" s="17"/>
    </row>
    <row r="34" spans="2:6">
      <c r="C34" s="17"/>
      <c r="D34" s="17"/>
      <c r="E34" s="17"/>
      <c r="F34" s="17"/>
    </row>
    <row r="35" spans="2:6">
      <c r="C35" s="17"/>
      <c r="D35" s="17"/>
      <c r="E35" s="17"/>
      <c r="F35" s="17"/>
    </row>
  </sheetData>
  <mergeCells count="15">
    <mergeCell ref="A9:B9"/>
    <mergeCell ref="A15:B15"/>
    <mergeCell ref="A16:B16"/>
    <mergeCell ref="A17:B17"/>
    <mergeCell ref="A18:B18"/>
    <mergeCell ref="A19:B19"/>
    <mergeCell ref="C19:F19"/>
    <mergeCell ref="A21:B21"/>
    <mergeCell ref="A27:B27"/>
    <mergeCell ref="A28:B28"/>
    <mergeCell ref="A29:B29"/>
    <mergeCell ref="A30:B30"/>
    <mergeCell ref="A31:B31"/>
    <mergeCell ref="C31:F31"/>
    <mergeCell ref="C33:F35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conditionalFormatting sqref="C31:F31">
    <cfRule type="containsBlanks" dxfId="0" priority="3">
      <formula>LEN(TRIM(C31))=0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84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34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digestion_page!B32</f>
        <v>0</v>
      </c>
      <c r="H11" s="13">
        <f>digestion_page!C32</f>
        <v>0</v>
      </c>
      <c r="I11" s="13">
        <f>(LEFT(B11,FIND("/",B11)-1)/RIGHT(B11,LEN(B11)-FIND("/", B11)))</f>
        <v>0</v>
      </c>
    </row>
    <row r="12" spans="1:9">
      <c r="A12" s="5" t="s">
        <v>35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digestion_page!B33</f>
        <v>0</v>
      </c>
      <c r="H12" s="13">
        <f>digestion_page!C33</f>
        <v>0</v>
      </c>
      <c r="I12" s="13">
        <f>(LEFT(B12,FIND("/",B12)-1)/RIGHT(B12,LEN(B12)-FIND("/", B12)))</f>
        <v>0</v>
      </c>
    </row>
    <row r="13" spans="1:9">
      <c r="A13" s="5" t="s">
        <v>36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digestion_page!B34</f>
        <v>0</v>
      </c>
      <c r="H13" s="13">
        <f>digestion_page!C34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6">
      <c r="A17" s="9" t="s">
        <v>67</v>
      </c>
      <c r="B17" s="9"/>
      <c r="C17" s="3"/>
    </row>
    <row r="18" spans="1:6">
      <c r="A18" s="9" t="s">
        <v>68</v>
      </c>
      <c r="B18" s="9"/>
      <c r="C18" s="15">
        <f>AVERAGE(E11:E13)*(C17)</f>
        <v>0</v>
      </c>
    </row>
    <row r="19" spans="1:6">
      <c r="A19" s="9" t="s">
        <v>69</v>
      </c>
      <c r="B19" s="9"/>
      <c r="C19" s="16" t="s">
        <v>77</v>
      </c>
      <c r="D19" s="16"/>
      <c r="E19" s="16"/>
      <c r="F19" s="16"/>
    </row>
    <row r="21" spans="1:6">
      <c r="B21" s="9" t="s">
        <v>79</v>
      </c>
      <c r="C21" s="17"/>
      <c r="D21" s="17"/>
      <c r="E21" s="17"/>
      <c r="F21" s="17"/>
    </row>
    <row r="22" spans="1:6">
      <c r="C22" s="17"/>
      <c r="D22" s="17"/>
      <c r="E22" s="17"/>
      <c r="F22" s="17"/>
    </row>
    <row r="23" spans="1:6">
      <c r="C23" s="17"/>
      <c r="D23" s="17"/>
      <c r="E23" s="17"/>
      <c r="F23" s="17"/>
    </row>
  </sheetData>
  <mergeCells count="8">
    <mergeCell ref="A9:B9"/>
    <mergeCell ref="A15:B15"/>
    <mergeCell ref="A16:B16"/>
    <mergeCell ref="A17:B17"/>
    <mergeCell ref="A18:B18"/>
    <mergeCell ref="A19:B19"/>
    <mergeCell ref="C19:F19"/>
    <mergeCell ref="C21:F23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85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37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digestion_page!B35</f>
        <v>0</v>
      </c>
      <c r="H11" s="13">
        <f>digestion_page!C35</f>
        <v>0</v>
      </c>
      <c r="I11" s="13">
        <f>(LEFT(B11,FIND("/",B11)-1)/RIGHT(B11,LEN(B11)-FIND("/", B11)))</f>
        <v>0</v>
      </c>
    </row>
    <row r="12" spans="1:9">
      <c r="A12" s="5" t="s">
        <v>38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digestion_page!B36</f>
        <v>0</v>
      </c>
      <c r="H12" s="13">
        <f>digestion_page!C36</f>
        <v>0</v>
      </c>
      <c r="I12" s="13">
        <f>(LEFT(B12,FIND("/",B12)-1)/RIGHT(B12,LEN(B12)-FIND("/", B12)))</f>
        <v>0</v>
      </c>
    </row>
    <row r="13" spans="1:9">
      <c r="A13" s="5" t="s">
        <v>39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digestion_page!B37</f>
        <v>0</v>
      </c>
      <c r="H13" s="13">
        <f>digestion_page!C37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6">
      <c r="A17" s="9" t="s">
        <v>67</v>
      </c>
      <c r="B17" s="9"/>
      <c r="C17" s="3"/>
    </row>
    <row r="18" spans="1:6">
      <c r="A18" s="9" t="s">
        <v>68</v>
      </c>
      <c r="B18" s="9"/>
      <c r="C18" s="15">
        <f>AVERAGE(E11:E13)*(C17)</f>
        <v>0</v>
      </c>
    </row>
    <row r="19" spans="1:6">
      <c r="A19" s="9" t="s">
        <v>69</v>
      </c>
      <c r="B19" s="9"/>
      <c r="C19" s="16" t="s">
        <v>77</v>
      </c>
      <c r="D19" s="16"/>
      <c r="E19" s="16"/>
      <c r="F19" s="16"/>
    </row>
    <row r="21" spans="1:6">
      <c r="B21" s="9" t="s">
        <v>79</v>
      </c>
      <c r="C21" s="17"/>
      <c r="D21" s="17"/>
      <c r="E21" s="17"/>
      <c r="F21" s="17"/>
    </row>
    <row r="22" spans="1:6">
      <c r="C22" s="17"/>
      <c r="D22" s="17"/>
      <c r="E22" s="17"/>
      <c r="F22" s="17"/>
    </row>
    <row r="23" spans="1:6">
      <c r="C23" s="17"/>
      <c r="D23" s="17"/>
      <c r="E23" s="17"/>
      <c r="F23" s="17"/>
    </row>
  </sheetData>
  <mergeCells count="8">
    <mergeCell ref="A9:B9"/>
    <mergeCell ref="A15:B15"/>
    <mergeCell ref="A16:B16"/>
    <mergeCell ref="A17:B17"/>
    <mergeCell ref="A18:B18"/>
    <mergeCell ref="A19:B19"/>
    <mergeCell ref="C19:F19"/>
    <mergeCell ref="C21:F23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86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40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digestion_page!B38</f>
        <v>0</v>
      </c>
      <c r="H11" s="13">
        <f>digestion_page!C38</f>
        <v>0</v>
      </c>
      <c r="I11" s="13">
        <f>(LEFT(B11,FIND("/",B11)-1)/RIGHT(B11,LEN(B11)-FIND("/", B11)))</f>
        <v>0</v>
      </c>
    </row>
    <row r="12" spans="1:9">
      <c r="A12" s="5" t="s">
        <v>41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digestion_page!B39</f>
        <v>0</v>
      </c>
      <c r="H12" s="13">
        <f>digestion_page!C39</f>
        <v>0</v>
      </c>
      <c r="I12" s="13">
        <f>(LEFT(B12,FIND("/",B12)-1)/RIGHT(B12,LEN(B12)-FIND("/", B12)))</f>
        <v>0</v>
      </c>
    </row>
    <row r="13" spans="1:9">
      <c r="A13" s="5" t="s">
        <v>42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digestion_page!B40</f>
        <v>0</v>
      </c>
      <c r="H13" s="13">
        <f>digestion_page!C40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6">
      <c r="A17" s="9" t="s">
        <v>67</v>
      </c>
      <c r="B17" s="9"/>
      <c r="C17" s="3"/>
    </row>
    <row r="18" spans="1:6">
      <c r="A18" s="9" t="s">
        <v>68</v>
      </c>
      <c r="B18" s="9"/>
      <c r="C18" s="15">
        <f>AVERAGE(E11:E13)*(C17)</f>
        <v>0</v>
      </c>
    </row>
    <row r="19" spans="1:6">
      <c r="A19" s="9" t="s">
        <v>69</v>
      </c>
      <c r="B19" s="9"/>
      <c r="C19" s="16" t="s">
        <v>77</v>
      </c>
      <c r="D19" s="16"/>
      <c r="E19" s="16"/>
      <c r="F19" s="16"/>
    </row>
    <row r="21" spans="1:6">
      <c r="B21" s="9" t="s">
        <v>79</v>
      </c>
      <c r="C21" s="17"/>
      <c r="D21" s="17"/>
      <c r="E21" s="17"/>
      <c r="F21" s="17"/>
    </row>
    <row r="22" spans="1:6">
      <c r="C22" s="17"/>
      <c r="D22" s="17"/>
      <c r="E22" s="17"/>
      <c r="F22" s="17"/>
    </row>
    <row r="23" spans="1:6">
      <c r="C23" s="17"/>
      <c r="D23" s="17"/>
      <c r="E23" s="17"/>
      <c r="F23" s="17"/>
    </row>
  </sheetData>
  <mergeCells count="8">
    <mergeCell ref="A9:B9"/>
    <mergeCell ref="A15:B15"/>
    <mergeCell ref="A16:B16"/>
    <mergeCell ref="A17:B17"/>
    <mergeCell ref="A18:B18"/>
    <mergeCell ref="A19:B19"/>
    <mergeCell ref="C19:F19"/>
    <mergeCell ref="C21:F23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87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43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digestion_page!B41</f>
        <v>0</v>
      </c>
      <c r="H11" s="13">
        <f>digestion_page!C41</f>
        <v>0</v>
      </c>
      <c r="I11" s="13">
        <f>(LEFT(B11,FIND("/",B11)-1)/RIGHT(B11,LEN(B11)-FIND("/", B11)))</f>
        <v>0</v>
      </c>
    </row>
    <row r="12" spans="1:9">
      <c r="A12" s="5" t="s">
        <v>44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digestion_page!B42</f>
        <v>0</v>
      </c>
      <c r="H12" s="13">
        <f>digestion_page!C42</f>
        <v>0</v>
      </c>
      <c r="I12" s="13">
        <f>(LEFT(B12,FIND("/",B12)-1)/RIGHT(B12,LEN(B12)-FIND("/", B12)))</f>
        <v>0</v>
      </c>
    </row>
    <row r="13" spans="1:9">
      <c r="A13" s="5" t="s">
        <v>45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digestion_page!B43</f>
        <v>0</v>
      </c>
      <c r="H13" s="13">
        <f>digestion_page!C43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6">
      <c r="A17" s="9" t="s">
        <v>67</v>
      </c>
      <c r="B17" s="9"/>
      <c r="C17" s="3"/>
    </row>
    <row r="18" spans="1:6">
      <c r="A18" s="9" t="s">
        <v>68</v>
      </c>
      <c r="B18" s="9"/>
      <c r="C18" s="15">
        <f>AVERAGE(E11:E13)*(C17)</f>
        <v>0</v>
      </c>
    </row>
    <row r="19" spans="1:6">
      <c r="A19" s="9" t="s">
        <v>69</v>
      </c>
      <c r="B19" s="9"/>
      <c r="C19" s="16" t="s">
        <v>77</v>
      </c>
      <c r="D19" s="16"/>
      <c r="E19" s="16"/>
      <c r="F19" s="16"/>
    </row>
    <row r="21" spans="1:6">
      <c r="B21" s="9" t="s">
        <v>79</v>
      </c>
      <c r="C21" s="17"/>
      <c r="D21" s="17"/>
      <c r="E21" s="17"/>
      <c r="F21" s="17"/>
    </row>
    <row r="22" spans="1:6">
      <c r="C22" s="17"/>
      <c r="D22" s="17"/>
      <c r="E22" s="17"/>
      <c r="F22" s="17"/>
    </row>
    <row r="23" spans="1:6">
      <c r="C23" s="17"/>
      <c r="D23" s="17"/>
      <c r="E23" s="17"/>
      <c r="F23" s="17"/>
    </row>
  </sheetData>
  <mergeCells count="8">
    <mergeCell ref="A9:B9"/>
    <mergeCell ref="A15:B15"/>
    <mergeCell ref="A16:B16"/>
    <mergeCell ref="A17:B17"/>
    <mergeCell ref="A18:B18"/>
    <mergeCell ref="A19:B19"/>
    <mergeCell ref="C19:F19"/>
    <mergeCell ref="C21:F23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88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46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digestion_page!B44</f>
        <v>0</v>
      </c>
      <c r="H11" s="13">
        <f>digestion_page!C44</f>
        <v>0</v>
      </c>
      <c r="I11" s="13">
        <f>(LEFT(B11,FIND("/",B11)-1)/RIGHT(B11,LEN(B11)-FIND("/", B11)))</f>
        <v>0</v>
      </c>
    </row>
    <row r="12" spans="1:9">
      <c r="A12" s="5" t="s">
        <v>47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digestion_page!B45</f>
        <v>0</v>
      </c>
      <c r="H12" s="13">
        <f>digestion_page!C45</f>
        <v>0</v>
      </c>
      <c r="I12" s="13">
        <f>(LEFT(B12,FIND("/",B12)-1)/RIGHT(B12,LEN(B12)-FIND("/", B12)))</f>
        <v>0</v>
      </c>
    </row>
    <row r="13" spans="1:9">
      <c r="A13" s="5" t="s">
        <v>48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digestion_page!B46</f>
        <v>0</v>
      </c>
      <c r="H13" s="13">
        <f>digestion_page!C46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6">
      <c r="A17" s="9" t="s">
        <v>67</v>
      </c>
      <c r="B17" s="9"/>
      <c r="C17" s="3"/>
    </row>
    <row r="18" spans="1:6">
      <c r="A18" s="9" t="s">
        <v>68</v>
      </c>
      <c r="B18" s="9"/>
      <c r="C18" s="15">
        <f>AVERAGE(E11:E13)*(C17)</f>
        <v>0</v>
      </c>
    </row>
    <row r="19" spans="1:6">
      <c r="A19" s="9" t="s">
        <v>69</v>
      </c>
      <c r="B19" s="9"/>
      <c r="C19" s="16" t="s">
        <v>77</v>
      </c>
      <c r="D19" s="16"/>
      <c r="E19" s="16"/>
      <c r="F19" s="16"/>
    </row>
    <row r="21" spans="1:6">
      <c r="B21" s="9" t="s">
        <v>79</v>
      </c>
      <c r="C21" s="17"/>
      <c r="D21" s="17"/>
      <c r="E21" s="17"/>
      <c r="F21" s="17"/>
    </row>
    <row r="22" spans="1:6">
      <c r="C22" s="17"/>
      <c r="D22" s="17"/>
      <c r="E22" s="17"/>
      <c r="F22" s="17"/>
    </row>
    <row r="23" spans="1:6">
      <c r="C23" s="17"/>
      <c r="D23" s="17"/>
      <c r="E23" s="17"/>
      <c r="F23" s="17"/>
    </row>
  </sheetData>
  <mergeCells count="8">
    <mergeCell ref="A9:B9"/>
    <mergeCell ref="A15:B15"/>
    <mergeCell ref="A16:B16"/>
    <mergeCell ref="A17:B17"/>
    <mergeCell ref="A18:B18"/>
    <mergeCell ref="A19:B19"/>
    <mergeCell ref="C19:F19"/>
    <mergeCell ref="C21:F23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 t="s">
        <v>2</v>
      </c>
    </row>
    <row r="5" spans="1:9">
      <c r="A5" s="9" t="s">
        <v>54</v>
      </c>
      <c r="B5" s="10"/>
    </row>
    <row r="6" spans="1:9">
      <c r="A6" s="5" t="s">
        <v>55</v>
      </c>
      <c r="B6" s="5" t="s">
        <v>56</v>
      </c>
      <c r="C6" s="5" t="s">
        <v>57</v>
      </c>
      <c r="D6" s="5">
        <f>"after "&amp;B5&amp;" °C"</f>
        <v>0</v>
      </c>
      <c r="E6" s="5" t="s">
        <v>58</v>
      </c>
      <c r="F6" s="5" t="s">
        <v>59</v>
      </c>
    </row>
    <row r="7" spans="1:9">
      <c r="A7" s="5" t="s">
        <v>89</v>
      </c>
      <c r="B7" s="8"/>
      <c r="C7" s="8"/>
      <c r="D7" s="8"/>
      <c r="E7" s="11">
        <f>(((C7-B7)-(D7-B7))/(C7-B7))*100</f>
        <v>0</v>
      </c>
      <c r="F7" s="8">
        <f>1-(E7/100)</f>
        <v>0</v>
      </c>
    </row>
    <row r="9" spans="1:9">
      <c r="A9" s="3" t="s">
        <v>61</v>
      </c>
      <c r="B9" s="3"/>
    </row>
    <row r="10" spans="1:9">
      <c r="A10" s="5" t="s">
        <v>55</v>
      </c>
      <c r="B10" s="5" t="s">
        <v>62</v>
      </c>
      <c r="C10" s="5" t="s">
        <v>63</v>
      </c>
      <c r="D10" s="5" t="s">
        <v>64</v>
      </c>
      <c r="E10" s="5" t="s">
        <v>65</v>
      </c>
    </row>
    <row r="11" spans="1:9">
      <c r="A11" s="5" t="s">
        <v>49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digestion_page!B47</f>
        <v>0</v>
      </c>
      <c r="H11" s="13">
        <f>digestion_page!C47</f>
        <v>0</v>
      </c>
      <c r="I11" s="13">
        <f>(LEFT(B11,FIND("/",B11)-1)/RIGHT(B11,LEN(B11)-FIND("/", B11)))</f>
        <v>0</v>
      </c>
    </row>
    <row r="12" spans="1:9">
      <c r="A12" s="5" t="s">
        <v>50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digestion_page!B48</f>
        <v>0</v>
      </c>
      <c r="H12" s="13">
        <f>digestion_page!C48</f>
        <v>0</v>
      </c>
      <c r="I12" s="13">
        <f>(LEFT(B12,FIND("/",B12)-1)/RIGHT(B12,LEN(B12)-FIND("/", B12)))</f>
        <v>0</v>
      </c>
    </row>
    <row r="13" spans="1:9">
      <c r="A13" s="5" t="s">
        <v>51</v>
      </c>
      <c r="B13" s="6">
        <f>"1/1"</f>
        <v>0</v>
      </c>
      <c r="C13" s="12"/>
      <c r="D13" s="11">
        <f>((C13)*(H13)*(I13))/(G13*$F$7)</f>
        <v>0</v>
      </c>
      <c r="E13" s="11">
        <f>D13/10000</f>
        <v>0</v>
      </c>
      <c r="G13" s="13">
        <f>digestion_page!B49</f>
        <v>0</v>
      </c>
      <c r="H13" s="13">
        <f>digestion_page!C49</f>
        <v>0</v>
      </c>
      <c r="I13" s="13">
        <f>(LEFT(B13,FIND("/",B13)-1)/RIGHT(B13,LEN(B13)-FIND("/", B13)))</f>
        <v>0</v>
      </c>
    </row>
    <row r="15" spans="1:9">
      <c r="A15" s="9" t="s">
        <v>66</v>
      </c>
      <c r="B15" s="9"/>
      <c r="C15" s="14">
        <f>AVERAGE(D11:D13)</f>
        <v>0</v>
      </c>
    </row>
    <row r="16" spans="1:9">
      <c r="A16" s="9" t="s">
        <v>66</v>
      </c>
      <c r="B16" s="9"/>
      <c r="C16" s="15">
        <f>AVERAGE(E11:E13)</f>
        <v>0</v>
      </c>
    </row>
    <row r="17" spans="1:6">
      <c r="A17" s="9" t="s">
        <v>67</v>
      </c>
      <c r="B17" s="9"/>
      <c r="C17" s="3"/>
    </row>
    <row r="18" spans="1:6">
      <c r="A18" s="9" t="s">
        <v>68</v>
      </c>
      <c r="B18" s="9"/>
      <c r="C18" s="15">
        <f>AVERAGE(E11:E13)*(C17)</f>
        <v>0</v>
      </c>
    </row>
    <row r="19" spans="1:6">
      <c r="A19" s="9" t="s">
        <v>69</v>
      </c>
      <c r="B19" s="9"/>
      <c r="C19" s="16" t="s">
        <v>77</v>
      </c>
      <c r="D19" s="16"/>
      <c r="E19" s="16"/>
      <c r="F19" s="16"/>
    </row>
    <row r="21" spans="1:6">
      <c r="B21" s="9" t="s">
        <v>79</v>
      </c>
      <c r="C21" s="17"/>
      <c r="D21" s="17"/>
      <c r="E21" s="17"/>
      <c r="F21" s="17"/>
    </row>
    <row r="22" spans="1:6">
      <c r="C22" s="17"/>
      <c r="D22" s="17"/>
      <c r="E22" s="17"/>
      <c r="F22" s="17"/>
    </row>
    <row r="23" spans="1:6">
      <c r="C23" s="17"/>
      <c r="D23" s="17"/>
      <c r="E23" s="17"/>
      <c r="F23" s="17"/>
    </row>
  </sheetData>
  <mergeCells count="8">
    <mergeCell ref="A9:B9"/>
    <mergeCell ref="A15:B15"/>
    <mergeCell ref="A16:B16"/>
    <mergeCell ref="A17:B17"/>
    <mergeCell ref="A18:B18"/>
    <mergeCell ref="A19:B19"/>
    <mergeCell ref="C19:F19"/>
    <mergeCell ref="C21:F23"/>
  </mergeCells>
  <conditionalFormatting sqref="B5">
    <cfRule type="containsBlanks" dxfId="0" priority="1">
      <formula>LEN(TRIM(B5))=0</formula>
    </cfRule>
  </conditionalFormatting>
  <conditionalFormatting sqref="C19:F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8" t="s">
        <v>90</v>
      </c>
    </row>
    <row r="3" spans="1:1">
      <c r="A3" s="18" t="s">
        <v>91</v>
      </c>
    </row>
    <row r="5" spans="1:1">
      <c r="A5" s="18" t="s">
        <v>92</v>
      </c>
    </row>
    <row r="7" spans="1:1">
      <c r="A7" s="18" t="s">
        <v>93</v>
      </c>
    </row>
    <row r="8" spans="1:1">
      <c r="A8" s="18" t="s">
        <v>94</v>
      </c>
    </row>
    <row r="9" spans="1:1">
      <c r="A9" s="18" t="s">
        <v>95</v>
      </c>
    </row>
    <row r="11" spans="1:1">
      <c r="A11" s="18" t="s">
        <v>96</v>
      </c>
    </row>
    <row r="13" spans="1:1">
      <c r="A13" s="18" t="s">
        <v>97</v>
      </c>
    </row>
    <row r="15" spans="1:1">
      <c r="A15" s="18" t="s">
        <v>98</v>
      </c>
    </row>
    <row r="17" spans="1:1">
      <c r="A17" s="18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digestion_page</vt:lpstr>
      <vt:lpstr>200128227</vt:lpstr>
      <vt:lpstr>200128228</vt:lpstr>
      <vt:lpstr>200128229</vt:lpstr>
      <vt:lpstr>200128230</vt:lpstr>
      <vt:lpstr>200128231</vt:lpstr>
      <vt:lpstr>200128232</vt:lpstr>
      <vt:lpstr>200128233</vt:lpstr>
      <vt:lpstr>200128234</vt:lpstr>
      <vt:lpstr>200128235</vt:lpstr>
      <vt:lpstr>200128236</vt:lpstr>
      <vt:lpstr>200128237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2026-06-05T02:33:22Z</dcterms:created>
  <dcterms:modified xsi:type="dcterms:W3CDTF">2026-06-05T02:33:22Z</dcterms:modified>
</cp:coreProperties>
</file>