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8601" sheetId="2" r:id="rId2"/>
    <sheet name="200128602" sheetId="3" r:id="rId3"/>
    <sheet name="200128603" sheetId="4" r:id="rId4"/>
    <sheet name="formula_page" sheetId="5" r:id="rId5"/>
  </sheets>
  <calcPr calcId="124519" fullCalcOnLoad="1"/>
</workbook>
</file>

<file path=xl/sharedStrings.xml><?xml version="1.0" encoding="utf-8"?>
<sst xmlns="http://schemas.openxmlformats.org/spreadsheetml/2006/main" count="98" uniqueCount="40">
  <si>
    <t>Date:</t>
  </si>
  <si>
    <t>Request ID:</t>
  </si>
  <si>
    <t>1000486001</t>
  </si>
  <si>
    <t>Hotplate</t>
  </si>
  <si>
    <t>Analyte(s)</t>
  </si>
  <si>
    <t>Ca</t>
  </si>
  <si>
    <t>SOP#</t>
  </si>
  <si>
    <t>Cocktail</t>
  </si>
  <si>
    <t>sample(s)</t>
  </si>
  <si>
    <t>weight (g)</t>
  </si>
  <si>
    <t>volume (mL)</t>
  </si>
  <si>
    <t>200128601_1</t>
  </si>
  <si>
    <t>200128601_2</t>
  </si>
  <si>
    <t>200128601_3</t>
  </si>
  <si>
    <t>200128602_1</t>
  </si>
  <si>
    <t>200128602_2</t>
  </si>
  <si>
    <t>200128602_3</t>
  </si>
  <si>
    <t>200128603_1</t>
  </si>
  <si>
    <t>200128603_2</t>
  </si>
  <si>
    <t>200128603_3</t>
  </si>
  <si>
    <t>Na</t>
  </si>
  <si>
    <t>Ca ICP analysis</t>
  </si>
  <si>
    <t>sample</t>
  </si>
  <si>
    <t>Dilution</t>
  </si>
  <si>
    <t>conc. [mg/L]</t>
  </si>
  <si>
    <t>Ca_ppm</t>
  </si>
  <si>
    <t>%Ca</t>
  </si>
  <si>
    <t>ca result:</t>
  </si>
  <si>
    <t>ca lot:</t>
  </si>
  <si>
    <t>Manufacturer: Assurance, 28-35CAY exp: 2026-10-30</t>
  </si>
  <si>
    <t>Note(s):</t>
  </si>
  <si>
    <t>Na ICP analysis</t>
  </si>
  <si>
    <t>Na_ppm</t>
  </si>
  <si>
    <t>%Na</t>
  </si>
  <si>
    <t>na result:</t>
  </si>
  <si>
    <t>na lot:</t>
  </si>
  <si>
    <t>Manufacturer: Assurance, 27-159NAY exp: 2026-08-30</t>
  </si>
  <si>
    <t>ppm M+ = [conc.][volume][dilution]/[weight]</t>
  </si>
  <si>
    <t>%M+ = [conc.][volume][dilution]/([weight]*10,000)</t>
  </si>
  <si>
    <t>%MO = [oxide factor]*%M+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</si>
</sst>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12" bestFit="1" customWidth="1"/>
    <col min="2" max="2" width="11" bestFit="1" customWidth="1"/>
    <col min="3" max="3" width="12.140625" bestFit="1" customWidth="1"/>
  </cols>
  <sheetData>
    <row r="1" spans="1:3">
      <c r="A1" s="1" t="s">
        <v>0</v>
      </c>
      <c r="B1" s="2">
        <v>46217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/>
    </row>
    <row r="11" spans="1:3">
      <c r="A11" s="5" t="s">
        <v>12</v>
      </c>
      <c r="B11" s="7"/>
      <c r="C11" s="6"/>
    </row>
    <row r="12" spans="1:3">
      <c r="A12" s="5" t="s">
        <v>13</v>
      </c>
      <c r="B12" s="7"/>
      <c r="C12" s="6"/>
    </row>
    <row r="13" spans="1:3">
      <c r="A13" s="5" t="s">
        <v>14</v>
      </c>
      <c r="B13" s="7"/>
      <c r="C13" s="6"/>
    </row>
    <row r="14" spans="1:3">
      <c r="A14" s="5" t="s">
        <v>15</v>
      </c>
      <c r="B14" s="7"/>
      <c r="C14" s="6"/>
    </row>
    <row r="15" spans="1:3">
      <c r="A15" s="5" t="s">
        <v>16</v>
      </c>
      <c r="B15" s="7"/>
      <c r="C15" s="6"/>
    </row>
    <row r="16" spans="1:3">
      <c r="A16" s="5" t="s">
        <v>17</v>
      </c>
      <c r="B16" s="7"/>
      <c r="C16" s="6"/>
    </row>
    <row r="17" spans="1:3">
      <c r="A17" s="5" t="s">
        <v>18</v>
      </c>
      <c r="B17" s="7"/>
      <c r="C17" s="6"/>
    </row>
    <row r="18" spans="1:3">
      <c r="A18" s="5" t="s">
        <v>19</v>
      </c>
      <c r="B18" s="7"/>
      <c r="C18" s="6"/>
    </row>
    <row r="21" spans="1:3">
      <c r="A21" s="4" t="s">
        <v>3</v>
      </c>
      <c r="B21" s="4"/>
      <c r="C21" s="4"/>
    </row>
    <row r="22" spans="1:3">
      <c r="A22" s="5" t="s">
        <v>4</v>
      </c>
      <c r="B22" s="6" t="s">
        <v>20</v>
      </c>
      <c r="C22" s="6"/>
    </row>
    <row r="23" spans="1:3">
      <c r="A23" s="5" t="s">
        <v>6</v>
      </c>
      <c r="B23" s="6"/>
      <c r="C23" s="6"/>
    </row>
    <row r="24" spans="1:3">
      <c r="A24" s="5" t="s">
        <v>7</v>
      </c>
      <c r="B24" s="6"/>
      <c r="C24" s="6"/>
    </row>
    <row r="25" spans="1:3">
      <c r="A25" s="5" t="s">
        <v>8</v>
      </c>
      <c r="B25" s="5" t="s">
        <v>9</v>
      </c>
      <c r="C25" s="5" t="s">
        <v>10</v>
      </c>
    </row>
    <row r="26" spans="1:3">
      <c r="A26" s="5" t="s">
        <v>14</v>
      </c>
      <c r="B26" s="7"/>
      <c r="C26" s="6"/>
    </row>
    <row r="27" spans="1:3">
      <c r="A27" s="5" t="s">
        <v>15</v>
      </c>
      <c r="B27" s="7"/>
      <c r="C27" s="6"/>
    </row>
    <row r="28" spans="1:3">
      <c r="A28" s="5" t="s">
        <v>16</v>
      </c>
      <c r="B28" s="7"/>
      <c r="C28" s="6"/>
    </row>
  </sheetData>
  <mergeCells count="8">
    <mergeCell ref="A5:C5"/>
    <mergeCell ref="B6:C6"/>
    <mergeCell ref="B7:C7"/>
    <mergeCell ref="B8:C8"/>
    <mergeCell ref="A21:C21"/>
    <mergeCell ref="B22:C22"/>
    <mergeCell ref="B23:C23"/>
    <mergeCell ref="B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1" width="13.85546875" bestFit="1" customWidth="1"/>
    <col min="2" max="2" width="11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46217</v>
      </c>
    </row>
    <row r="2" spans="1:9">
      <c r="A2" s="1" t="s">
        <v>1</v>
      </c>
      <c r="B2" s="3" t="s">
        <v>2</v>
      </c>
    </row>
    <row r="5" spans="1:9">
      <c r="A5" s="3" t="s">
        <v>21</v>
      </c>
      <c r="B5" s="3"/>
    </row>
    <row r="6" spans="1:9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</row>
    <row r="7" spans="1:9">
      <c r="A7" s="5" t="s">
        <v>11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digestion_page!B10</f>
        <v>0</v>
      </c>
      <c r="H7" s="10">
        <f>digestion_page!C10</f>
        <v>0</v>
      </c>
      <c r="I7" s="10">
        <f>(LEFT(B7,FIND("/",B7)-1)/RIGHT(B7,LEN(B7)-FIND("/", B7)))</f>
        <v>0</v>
      </c>
    </row>
    <row r="8" spans="1:9">
      <c r="A8" s="5" t="s">
        <v>12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</f>
        <v>0</v>
      </c>
      <c r="H8" s="10">
        <f>digestion_page!C11</f>
        <v>0</v>
      </c>
      <c r="I8" s="10">
        <f>(LEFT(B8,FIND("/",B8)-1)/RIGHT(B8,LEN(B8)-FIND("/", B8)))</f>
        <v>0</v>
      </c>
    </row>
    <row r="9" spans="1:9">
      <c r="A9" s="5" t="s">
        <v>13</v>
      </c>
      <c r="B9" s="6">
        <f>"1/1"</f>
        <v>0</v>
      </c>
      <c r="C9" s="8"/>
      <c r="D9" s="9">
        <f>((C9)*(H9)*(I9))/(G9*1)</f>
        <v>0</v>
      </c>
      <c r="E9" s="9">
        <f>D9/10000</f>
        <v>0</v>
      </c>
      <c r="G9" s="10">
        <f>digestion_page!B12</f>
        <v>0</v>
      </c>
      <c r="H9" s="10">
        <f>digestion_page!C12</f>
        <v>0</v>
      </c>
      <c r="I9" s="10">
        <f>(LEFT(B9,FIND("/",B9)-1)/RIGHT(B9,LEN(B9)-FIND("/", B9)))</f>
        <v>0</v>
      </c>
    </row>
    <row r="11" spans="1:9">
      <c r="A11" s="11" t="s">
        <v>27</v>
      </c>
      <c r="B11" s="11"/>
      <c r="C11" s="12">
        <f>AVERAGE(D7:D9)</f>
        <v>0</v>
      </c>
    </row>
    <row r="12" spans="1:9">
      <c r="A12" s="11" t="s">
        <v>27</v>
      </c>
      <c r="B12" s="11"/>
      <c r="C12" s="13">
        <f>AVERAGE(E7:E9)</f>
        <v>0</v>
      </c>
    </row>
    <row r="13" spans="1:9">
      <c r="A13" s="11" t="s">
        <v>28</v>
      </c>
      <c r="B13" s="11"/>
      <c r="C13" s="14" t="s">
        <v>29</v>
      </c>
      <c r="D13" s="14"/>
      <c r="E13" s="14"/>
      <c r="F13" s="14"/>
    </row>
    <row r="15" spans="1:9">
      <c r="B15" s="11" t="s">
        <v>30</v>
      </c>
      <c r="C15" s="15"/>
      <c r="D15" s="15"/>
      <c r="E15" s="15"/>
      <c r="F15" s="15"/>
    </row>
    <row r="16" spans="1:9">
      <c r="C16" s="15"/>
      <c r="D16" s="15"/>
      <c r="E16" s="15"/>
      <c r="F16" s="15"/>
    </row>
    <row r="17" spans="3:6">
      <c r="C17" s="15"/>
      <c r="D17" s="15"/>
      <c r="E17" s="15"/>
      <c r="F17" s="15"/>
    </row>
  </sheetData>
  <mergeCells count="6">
    <mergeCell ref="A5:B5"/>
    <mergeCell ref="A11:B11"/>
    <mergeCell ref="A12:B12"/>
    <mergeCell ref="A13:B13"/>
    <mergeCell ref="C13:F13"/>
    <mergeCell ref="C15:F17"/>
  </mergeCells>
  <conditionalFormatting sqref="C13:F13">
    <cfRule type="containsBlanks" dxfId="0" priority="1">
      <formula>LEN(TRIM(C13))=0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cols>
    <col min="1" max="1" width="14.140625" bestFit="1" customWidth="1"/>
    <col min="2" max="2" width="11" bestFit="1" customWidth="1"/>
    <col min="3" max="3" width="12.7109375" customWidth="1"/>
    <col min="4" max="4" width="8.42578125" bestFit="1" customWidth="1"/>
    <col min="5" max="16" width="7.7109375" customWidth="1"/>
  </cols>
  <sheetData>
    <row r="1" spans="1:9">
      <c r="A1" s="1" t="s">
        <v>0</v>
      </c>
      <c r="B1" s="2">
        <v>46217</v>
      </c>
    </row>
    <row r="2" spans="1:9">
      <c r="A2" s="1" t="s">
        <v>1</v>
      </c>
      <c r="B2" s="3" t="s">
        <v>2</v>
      </c>
    </row>
    <row r="5" spans="1:9">
      <c r="A5" s="3" t="s">
        <v>21</v>
      </c>
      <c r="B5" s="3"/>
    </row>
    <row r="6" spans="1:9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</row>
    <row r="7" spans="1:9">
      <c r="A7" s="5" t="s">
        <v>14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digestion_page!B13</f>
        <v>0</v>
      </c>
      <c r="H7" s="10">
        <f>digestion_page!C13</f>
        <v>0</v>
      </c>
      <c r="I7" s="10">
        <f>(LEFT(B7,FIND("/",B7)-1)/RIGHT(B7,LEN(B7)-FIND("/", B7)))</f>
        <v>0</v>
      </c>
    </row>
    <row r="8" spans="1:9">
      <c r="A8" s="5" t="s">
        <v>15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digestion_page!B14</f>
        <v>0</v>
      </c>
      <c r="H8" s="10">
        <f>digestion_page!C14</f>
        <v>0</v>
      </c>
      <c r="I8" s="10">
        <f>(LEFT(B8,FIND("/",B8)-1)/RIGHT(B8,LEN(B8)-FIND("/", B8)))</f>
        <v>0</v>
      </c>
    </row>
    <row r="9" spans="1:9">
      <c r="A9" s="5" t="s">
        <v>16</v>
      </c>
      <c r="B9" s="6">
        <f>"1/1"</f>
        <v>0</v>
      </c>
      <c r="C9" s="8"/>
      <c r="D9" s="9">
        <f>((C9)*(H9)*(I9))/(G9*1)</f>
        <v>0</v>
      </c>
      <c r="E9" s="9">
        <f>D9/10000</f>
        <v>0</v>
      </c>
      <c r="G9" s="10">
        <f>digestion_page!B15</f>
        <v>0</v>
      </c>
      <c r="H9" s="10">
        <f>digestion_page!C15</f>
        <v>0</v>
      </c>
      <c r="I9" s="10">
        <f>(LEFT(B9,FIND("/",B9)-1)/RIGHT(B9,LEN(B9)-FIND("/", B9)))</f>
        <v>0</v>
      </c>
    </row>
    <row r="11" spans="1:9">
      <c r="A11" s="11" t="s">
        <v>27</v>
      </c>
      <c r="B11" s="11"/>
      <c r="C11" s="12">
        <f>AVERAGE(D7:D9)</f>
        <v>0</v>
      </c>
    </row>
    <row r="12" spans="1:9">
      <c r="A12" s="11" t="s">
        <v>27</v>
      </c>
      <c r="B12" s="11"/>
      <c r="C12" s="13">
        <f>AVERAGE(E7:E9)</f>
        <v>0</v>
      </c>
    </row>
    <row r="13" spans="1:9">
      <c r="A13" s="11" t="s">
        <v>28</v>
      </c>
      <c r="B13" s="11"/>
      <c r="C13" s="14" t="s">
        <v>29</v>
      </c>
      <c r="D13" s="14"/>
      <c r="E13" s="14"/>
      <c r="F13" s="14"/>
    </row>
    <row r="15" spans="1:9">
      <c r="A15" s="3" t="s">
        <v>31</v>
      </c>
      <c r="B15" s="3"/>
    </row>
    <row r="16" spans="1:9">
      <c r="A16" s="5" t="s">
        <v>22</v>
      </c>
      <c r="B16" s="5" t="s">
        <v>23</v>
      </c>
      <c r="C16" s="5" t="s">
        <v>24</v>
      </c>
      <c r="D16" s="5" t="s">
        <v>32</v>
      </c>
      <c r="E16" s="5" t="s">
        <v>33</v>
      </c>
    </row>
    <row r="17" spans="1:9">
      <c r="A17" s="5" t="s">
        <v>14</v>
      </c>
      <c r="B17" s="6">
        <f>"1/1"</f>
        <v>0</v>
      </c>
      <c r="C17" s="8"/>
      <c r="D17" s="9">
        <f>((C17)*(H17)*(I17))/(G17*1)</f>
        <v>0</v>
      </c>
      <c r="E17" s="9">
        <f>D17/10000</f>
        <v>0</v>
      </c>
      <c r="G17" s="10">
        <f>digestion_page!B26</f>
        <v>0</v>
      </c>
      <c r="H17" s="10">
        <f>digestion_page!C26</f>
        <v>0</v>
      </c>
      <c r="I17" s="10">
        <f>(LEFT(B17,FIND("/",B17)-1)/RIGHT(B17,LEN(B17)-FIND("/", B17)))</f>
        <v>0</v>
      </c>
    </row>
    <row r="18" spans="1:9">
      <c r="A18" s="5" t="s">
        <v>15</v>
      </c>
      <c r="B18" s="6">
        <f>"1/1"</f>
        <v>0</v>
      </c>
      <c r="C18" s="8"/>
      <c r="D18" s="9">
        <f>((C18)*(H18)*(I18))/(G18*1)</f>
        <v>0</v>
      </c>
      <c r="E18" s="9">
        <f>D18/10000</f>
        <v>0</v>
      </c>
      <c r="G18" s="10">
        <f>digestion_page!B27</f>
        <v>0</v>
      </c>
      <c r="H18" s="10">
        <f>digestion_page!C27</f>
        <v>0</v>
      </c>
      <c r="I18" s="10">
        <f>(LEFT(B18,FIND("/",B18)-1)/RIGHT(B18,LEN(B18)-FIND("/", B18)))</f>
        <v>0</v>
      </c>
    </row>
    <row r="19" spans="1:9">
      <c r="A19" s="5" t="s">
        <v>16</v>
      </c>
      <c r="B19" s="6">
        <f>"1/1"</f>
        <v>0</v>
      </c>
      <c r="C19" s="8"/>
      <c r="D19" s="9">
        <f>((C19)*(H19)*(I19))/(G19*1)</f>
        <v>0</v>
      </c>
      <c r="E19" s="9">
        <f>D19/10000</f>
        <v>0</v>
      </c>
      <c r="G19" s="10">
        <f>digestion_page!B28</f>
        <v>0</v>
      </c>
      <c r="H19" s="10">
        <f>digestion_page!C28</f>
        <v>0</v>
      </c>
      <c r="I19" s="10">
        <f>(LEFT(B19,FIND("/",B19)-1)/RIGHT(B19,LEN(B19)-FIND("/", B19)))</f>
        <v>0</v>
      </c>
    </row>
    <row r="21" spans="1:9">
      <c r="A21" s="11" t="s">
        <v>34</v>
      </c>
      <c r="B21" s="11"/>
      <c r="C21" s="12">
        <f>AVERAGE(D17:D19)</f>
        <v>0</v>
      </c>
    </row>
    <row r="22" spans="1:9">
      <c r="A22" s="11" t="s">
        <v>34</v>
      </c>
      <c r="B22" s="11"/>
      <c r="C22" s="13">
        <f>AVERAGE(E17:E19)</f>
        <v>0</v>
      </c>
    </row>
    <row r="23" spans="1:9">
      <c r="A23" s="11" t="s">
        <v>35</v>
      </c>
      <c r="B23" s="11"/>
      <c r="C23" s="14" t="s">
        <v>36</v>
      </c>
      <c r="D23" s="14"/>
      <c r="E23" s="14"/>
      <c r="F23" s="14"/>
    </row>
    <row r="25" spans="1:9">
      <c r="B25" s="11" t="s">
        <v>30</v>
      </c>
      <c r="C25" s="15"/>
      <c r="D25" s="15"/>
      <c r="E25" s="15"/>
      <c r="F25" s="15"/>
    </row>
    <row r="26" spans="1:9">
      <c r="C26" s="15"/>
      <c r="D26" s="15"/>
      <c r="E26" s="15"/>
      <c r="F26" s="15"/>
    </row>
    <row r="27" spans="1:9">
      <c r="C27" s="15"/>
      <c r="D27" s="15"/>
      <c r="E27" s="15"/>
      <c r="F27" s="15"/>
    </row>
  </sheetData>
  <mergeCells count="11">
    <mergeCell ref="A5:B5"/>
    <mergeCell ref="A11:B11"/>
    <mergeCell ref="A12:B12"/>
    <mergeCell ref="A13:B13"/>
    <mergeCell ref="C13:F13"/>
    <mergeCell ref="A15:B15"/>
    <mergeCell ref="A21:B21"/>
    <mergeCell ref="A22:B22"/>
    <mergeCell ref="A23:B23"/>
    <mergeCell ref="C23:F23"/>
    <mergeCell ref="C25:F27"/>
  </mergeCells>
  <conditionalFormatting sqref="C13:F13">
    <cfRule type="containsBlanks" dxfId="0" priority="1">
      <formula>LEN(TRIM(C13))=0</formula>
    </cfRule>
  </conditionalFormatting>
  <conditionalFormatting sqref="C23:F23">
    <cfRule type="containsBlanks" dxfId="0" priority="2">
      <formula>LEN(TRIM(C23))=0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cols>
    <col min="1" max="1" width="13.85546875" bestFit="1" customWidth="1"/>
    <col min="2" max="2" width="11" bestFit="1" customWidth="1"/>
    <col min="3" max="3" width="12.7109375" customWidth="1"/>
    <col min="4" max="4" width="8.140625" bestFit="1" customWidth="1"/>
    <col min="5" max="6" width="7.7109375" customWidth="1"/>
  </cols>
  <sheetData>
    <row r="1" spans="1:9">
      <c r="A1" s="1" t="s">
        <v>0</v>
      </c>
      <c r="B1" s="2">
        <v>46217</v>
      </c>
    </row>
    <row r="2" spans="1:9">
      <c r="A2" s="1" t="s">
        <v>1</v>
      </c>
      <c r="B2" s="3" t="s">
        <v>2</v>
      </c>
    </row>
    <row r="5" spans="1:9">
      <c r="A5" s="3" t="s">
        <v>21</v>
      </c>
      <c r="B5" s="3"/>
    </row>
    <row r="6" spans="1:9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</row>
    <row r="7" spans="1:9">
      <c r="A7" s="5" t="s">
        <v>17</v>
      </c>
      <c r="B7" s="6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digestion_page!B16</f>
        <v>0</v>
      </c>
      <c r="H7" s="10">
        <f>digestion_page!C16</f>
        <v>0</v>
      </c>
      <c r="I7" s="10">
        <f>(LEFT(B7,FIND("/",B7)-1)/RIGHT(B7,LEN(B7)-FIND("/", B7)))</f>
        <v>0</v>
      </c>
    </row>
    <row r="8" spans="1:9">
      <c r="A8" s="5" t="s">
        <v>18</v>
      </c>
      <c r="B8" s="6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digestion_page!B17</f>
        <v>0</v>
      </c>
      <c r="H8" s="10">
        <f>digestion_page!C17</f>
        <v>0</v>
      </c>
      <c r="I8" s="10">
        <f>(LEFT(B8,FIND("/",B8)-1)/RIGHT(B8,LEN(B8)-FIND("/", B8)))</f>
        <v>0</v>
      </c>
    </row>
    <row r="9" spans="1:9">
      <c r="A9" s="5" t="s">
        <v>19</v>
      </c>
      <c r="B9" s="6">
        <f>"1/1"</f>
        <v>0</v>
      </c>
      <c r="C9" s="8"/>
      <c r="D9" s="9">
        <f>((C9)*(H9)*(I9))/(G9*1)</f>
        <v>0</v>
      </c>
      <c r="E9" s="9">
        <f>D9/10000</f>
        <v>0</v>
      </c>
      <c r="G9" s="10">
        <f>digestion_page!B18</f>
        <v>0</v>
      </c>
      <c r="H9" s="10">
        <f>digestion_page!C18</f>
        <v>0</v>
      </c>
      <c r="I9" s="10">
        <f>(LEFT(B9,FIND("/",B9)-1)/RIGHT(B9,LEN(B9)-FIND("/", B9)))</f>
        <v>0</v>
      </c>
    </row>
    <row r="11" spans="1:9">
      <c r="A11" s="11" t="s">
        <v>27</v>
      </c>
      <c r="B11" s="11"/>
      <c r="C11" s="12">
        <f>AVERAGE(D7:D9)</f>
        <v>0</v>
      </c>
    </row>
    <row r="12" spans="1:9">
      <c r="A12" s="11" t="s">
        <v>27</v>
      </c>
      <c r="B12" s="11"/>
      <c r="C12" s="13">
        <f>AVERAGE(E7:E9)</f>
        <v>0</v>
      </c>
    </row>
    <row r="13" spans="1:9">
      <c r="A13" s="11" t="s">
        <v>28</v>
      </c>
      <c r="B13" s="11"/>
      <c r="C13" s="14" t="s">
        <v>29</v>
      </c>
      <c r="D13" s="14"/>
      <c r="E13" s="14"/>
      <c r="F13" s="14"/>
    </row>
    <row r="15" spans="1:9">
      <c r="B15" s="11" t="s">
        <v>30</v>
      </c>
      <c r="C15" s="15"/>
      <c r="D15" s="15"/>
      <c r="E15" s="15"/>
      <c r="F15" s="15"/>
    </row>
    <row r="16" spans="1:9">
      <c r="C16" s="15"/>
      <c r="D16" s="15"/>
      <c r="E16" s="15"/>
      <c r="F16" s="15"/>
    </row>
    <row r="17" spans="3:6">
      <c r="C17" s="15"/>
      <c r="D17" s="15"/>
      <c r="E17" s="15"/>
      <c r="F17" s="15"/>
    </row>
  </sheetData>
  <mergeCells count="6">
    <mergeCell ref="A5:B5"/>
    <mergeCell ref="A11:B11"/>
    <mergeCell ref="A12:B12"/>
    <mergeCell ref="A13:B13"/>
    <mergeCell ref="C13:F13"/>
    <mergeCell ref="C15:F17"/>
  </mergeCells>
  <conditionalFormatting sqref="C13:F13">
    <cfRule type="containsBlanks" dxfId="0" priority="1">
      <formula>LEN(TRIM(C13))=0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6.140625" bestFit="1" customWidth="1"/>
  </cols>
  <sheetData>
    <row r="1" spans="1:1">
      <c r="A1" s="16" t="s">
        <v>37</v>
      </c>
    </row>
    <row r="3" spans="1:1">
      <c r="A3" s="16" t="s">
        <v>38</v>
      </c>
    </row>
    <row r="5" spans="1:1">
      <c r="A5" s="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digestion_page</vt:lpstr>
      <vt:lpstr>200128601</vt:lpstr>
      <vt:lpstr>200128602</vt:lpstr>
      <vt:lpstr>200128603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2026-07-15T02:23:16Z</dcterms:created>
  <dcterms:modified xsi:type="dcterms:W3CDTF">2026-07-15T02:23:16Z</dcterms:modified>
</cp:coreProperties>
</file>