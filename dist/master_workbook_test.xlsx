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a\clariant\request_template\dist\"/>
    </mc:Choice>
  </mc:AlternateContent>
  <xr:revisionPtr revIDLastSave="0" documentId="13_ncr:1_{1837B9C6-94D7-4CAC-A639-D9DE26DB345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gestion_page" sheetId="1" r:id="rId1"/>
    <sheet name="200120000" sheetId="2" r:id="rId2"/>
    <sheet name="200120002" sheetId="3" r:id="rId3"/>
    <sheet name="200120004" sheetId="4" r:id="rId4"/>
    <sheet name="formula_pag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B22" i="3"/>
  <c r="I22" i="3" s="1"/>
  <c r="B12" i="3"/>
  <c r="I12" i="3" s="1"/>
  <c r="B11" i="3"/>
  <c r="B12" i="2"/>
  <c r="I12" i="2" s="1"/>
  <c r="B11" i="2"/>
  <c r="I11" i="2" s="1"/>
  <c r="B12" i="4"/>
  <c r="I12" i="4" s="1"/>
  <c r="B11" i="4"/>
  <c r="I11" i="4" s="1"/>
  <c r="H12" i="4"/>
  <c r="G12" i="4"/>
  <c r="H11" i="4"/>
  <c r="G11" i="4"/>
  <c r="E7" i="4"/>
  <c r="F7" i="4" s="1"/>
  <c r="D6" i="4"/>
  <c r="I23" i="3"/>
  <c r="H23" i="3"/>
  <c r="G23" i="3"/>
  <c r="H22" i="3"/>
  <c r="G22" i="3"/>
  <c r="H12" i="3"/>
  <c r="G12" i="3"/>
  <c r="H11" i="3"/>
  <c r="G11" i="3"/>
  <c r="I11" i="3"/>
  <c r="E7" i="3"/>
  <c r="F7" i="3" s="1"/>
  <c r="D6" i="3"/>
  <c r="H12" i="2"/>
  <c r="G12" i="2"/>
  <c r="H11" i="2"/>
  <c r="G11" i="2"/>
  <c r="E7" i="2"/>
  <c r="F7" i="2" s="1"/>
  <c r="D6" i="2"/>
  <c r="D11" i="2" l="1"/>
  <c r="E11" i="2" s="1"/>
  <c r="D11" i="3"/>
  <c r="E11" i="3" s="1"/>
  <c r="D11" i="4"/>
  <c r="D23" i="3"/>
  <c r="E23" i="3" s="1"/>
  <c r="D22" i="3"/>
  <c r="D12" i="2"/>
  <c r="E12" i="2" s="1"/>
  <c r="D12" i="3"/>
  <c r="E12" i="3" s="1"/>
  <c r="D12" i="4"/>
  <c r="E12" i="4" s="1"/>
  <c r="C14" i="3" l="1"/>
  <c r="C14" i="2"/>
  <c r="E22" i="3"/>
  <c r="C25" i="3"/>
  <c r="C14" i="4"/>
  <c r="E11" i="4"/>
  <c r="C15" i="4" s="1"/>
  <c r="C15" i="3"/>
  <c r="C17" i="3"/>
  <c r="C17" i="2"/>
  <c r="C15" i="2"/>
  <c r="C28" i="3" l="1"/>
  <c r="C26" i="3"/>
</calcChain>
</file>

<file path=xl/sharedStrings.xml><?xml version="1.0" encoding="utf-8"?>
<sst xmlns="http://schemas.openxmlformats.org/spreadsheetml/2006/main" count="134" uniqueCount="65">
  <si>
    <t>Date:</t>
  </si>
  <si>
    <t>Request ID:</t>
  </si>
  <si>
    <t>100048000</t>
  </si>
  <si>
    <t>Katanax</t>
  </si>
  <si>
    <t>Analyte(s)</t>
  </si>
  <si>
    <t>Ca</t>
  </si>
  <si>
    <t>SOP#</t>
  </si>
  <si>
    <t>Acid Cocktail</t>
  </si>
  <si>
    <t>sample(s)</t>
  </si>
  <si>
    <t>weight (g)</t>
  </si>
  <si>
    <t>volume (mL)</t>
  </si>
  <si>
    <t>200120000_1</t>
  </si>
  <si>
    <t>200120000_2</t>
  </si>
  <si>
    <t>200120002_1</t>
  </si>
  <si>
    <t>200120002_2</t>
  </si>
  <si>
    <t>Ti</t>
  </si>
  <si>
    <t>Hotplate</t>
  </si>
  <si>
    <t>Pt</t>
  </si>
  <si>
    <t>Cocktail</t>
  </si>
  <si>
    <t>200120004_1</t>
  </si>
  <si>
    <t>200120004_2</t>
  </si>
  <si>
    <t>LOI temp:</t>
  </si>
  <si>
    <t>sample</t>
  </si>
  <si>
    <t>crucible (g)</t>
  </si>
  <si>
    <t>crucible + sample (g)</t>
  </si>
  <si>
    <t>LOI (%)</t>
  </si>
  <si>
    <t>correction</t>
  </si>
  <si>
    <t>200120000</t>
  </si>
  <si>
    <t>Ca ICP analysis</t>
  </si>
  <si>
    <t>Dilution</t>
  </si>
  <si>
    <t>conc. [mg/L]</t>
  </si>
  <si>
    <t>Ca_ppm [dried]</t>
  </si>
  <si>
    <t>%Ca [dried]</t>
  </si>
  <si>
    <t>ca result:</t>
  </si>
  <si>
    <t>ca oxide factor:</t>
  </si>
  <si>
    <t>ca oxide result:</t>
  </si>
  <si>
    <t>ca lot:</t>
  </si>
  <si>
    <t>Manufacturer: Assurance, 28-35CAY exp: 2026-10-30</t>
  </si>
  <si>
    <t>Note(s):</t>
  </si>
  <si>
    <t>200120002</t>
  </si>
  <si>
    <t>Ti ICP analysis</t>
  </si>
  <si>
    <t>Ti_ppm [dried]</t>
  </si>
  <si>
    <t>%Ti [dried]</t>
  </si>
  <si>
    <t>ti result:</t>
  </si>
  <si>
    <t>ti oxide factor:</t>
  </si>
  <si>
    <t>ti oxide result:</t>
  </si>
  <si>
    <t>ti lot:</t>
  </si>
  <si>
    <t>Manufacturer: Assurance, 27-189TIT exp: 2026-08-30</t>
  </si>
  <si>
    <t>200120004</t>
  </si>
  <si>
    <t>Pt ICP analysis</t>
  </si>
  <si>
    <t>Pt_ppm [dried]</t>
  </si>
  <si>
    <t>%Pt [dried]</t>
  </si>
  <si>
    <t>pt result:</t>
  </si>
  <si>
    <t>pt lot:</t>
  </si>
  <si>
    <t>Manufacturer: Assurance, 28-2PTY exp: 2027-02-28</t>
  </si>
  <si>
    <t>ppm M+ = [conc.][volume][dilution]/[weight]</t>
  </si>
  <si>
    <t>%M+ = [conc.][volume][dilution]/([weight]*10,000)</t>
  </si>
  <si>
    <t>%MO = [oxide factor]*%M+</t>
  </si>
  <si>
    <t>A = crucible</t>
  </si>
  <si>
    <t>B = crucible + sample</t>
  </si>
  <si>
    <t>C = crucible + sample after drying</t>
  </si>
  <si>
    <t>%LOI = ([B-A]-[C-A])/(B-A)*100%</t>
  </si>
  <si>
    <t>ppm M+  [dried] = ppm M+/([1-(%LOI)/100])</t>
  </si>
  <si>
    <t>%M+  [dried] = %M+/([1-(%LOI)/100])</t>
  </si>
  <si>
    <t>%MO [dried] = %MO/([1-(%LOI)/100])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</si>
</sst>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0.0000"/>
    <numFmt numFmtId="166" formatCode="######&quot; °C&quot;"/>
    <numFmt numFmtId="167" formatCode="0.000"/>
    <numFmt numFmtId="168" formatCode="0.00&quot; ppm&quot;"/>
    <numFmt numFmtId="169" formatCode="0.00&quot; %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0" fontId="0" fillId="0" borderId="0" xfId="0" applyAlignment="1">
      <alignment horizontal="right"/>
    </xf>
    <xf numFmtId="166" fontId="0" fillId="0" borderId="0" xfId="0" applyNumberFormat="1"/>
    <xf numFmtId="2" fontId="0" fillId="0" borderId="1" xfId="0" applyNumberFormat="1" applyBorder="1"/>
    <xf numFmtId="167" fontId="0" fillId="0" borderId="1" xfId="0" applyNumberFormat="1" applyBorder="1"/>
    <xf numFmtId="0" fontId="2" fillId="0" borderId="0" xfId="0" applyFont="1"/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0" fillId="2" borderId="0" xfId="0" applyFill="1" applyAlignment="1">
      <alignment horizontal="right"/>
    </xf>
    <xf numFmtId="168" fontId="0" fillId="2" borderId="0" xfId="0" applyNumberFormat="1" applyFill="1" applyAlignment="1">
      <alignment horizontal="left"/>
    </xf>
    <xf numFmtId="169" fontId="0" fillId="2" borderId="0" xfId="0" applyNumberFormat="1" applyFill="1" applyAlignment="1">
      <alignment horizontal="left"/>
    </xf>
  </cellXfs>
  <cellStyles count="1"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opLeftCell="A13" workbookViewId="0">
      <selection activeCell="E28" sqref="E28"/>
    </sheetView>
  </sheetViews>
  <sheetFormatPr defaultRowHeight="14.4" x14ac:dyDescent="0.3"/>
  <cols>
    <col min="1" max="1" width="12.6640625" customWidth="1"/>
    <col min="2" max="2" width="10.6640625" bestFit="1" customWidth="1"/>
    <col min="3" max="3" width="12.109375" bestFit="1" customWidth="1"/>
  </cols>
  <sheetData>
    <row r="1" spans="1:3" x14ac:dyDescent="0.3">
      <c r="A1" s="1" t="s">
        <v>0</v>
      </c>
      <c r="B1" s="2">
        <v>46248</v>
      </c>
    </row>
    <row r="2" spans="1:3" x14ac:dyDescent="0.3">
      <c r="A2" s="1" t="s">
        <v>1</v>
      </c>
      <c r="B2" s="3" t="s">
        <v>2</v>
      </c>
    </row>
    <row r="5" spans="1:3" x14ac:dyDescent="0.3">
      <c r="A5" s="15" t="s">
        <v>3</v>
      </c>
      <c r="B5" s="15"/>
      <c r="C5" s="15"/>
    </row>
    <row r="6" spans="1:3" x14ac:dyDescent="0.3">
      <c r="A6" s="4" t="s">
        <v>4</v>
      </c>
      <c r="B6" s="16" t="s">
        <v>5</v>
      </c>
      <c r="C6" s="16"/>
    </row>
    <row r="7" spans="1:3" x14ac:dyDescent="0.3">
      <c r="A7" s="4" t="s">
        <v>6</v>
      </c>
      <c r="B7" s="16"/>
      <c r="C7" s="16"/>
    </row>
    <row r="8" spans="1:3" x14ac:dyDescent="0.3">
      <c r="A8" s="4" t="s">
        <v>7</v>
      </c>
      <c r="B8" s="16"/>
      <c r="C8" s="16"/>
    </row>
    <row r="9" spans="1:3" x14ac:dyDescent="0.3">
      <c r="A9" s="4" t="s">
        <v>8</v>
      </c>
      <c r="B9" s="4" t="s">
        <v>9</v>
      </c>
      <c r="C9" s="4" t="s">
        <v>10</v>
      </c>
    </row>
    <row r="10" spans="1:3" x14ac:dyDescent="0.3">
      <c r="A10" s="4" t="s">
        <v>11</v>
      </c>
      <c r="B10" s="6">
        <v>0.2</v>
      </c>
      <c r="C10" s="5">
        <v>250</v>
      </c>
    </row>
    <row r="11" spans="1:3" x14ac:dyDescent="0.3">
      <c r="A11" s="4" t="s">
        <v>12</v>
      </c>
      <c r="B11" s="6">
        <v>0.2</v>
      </c>
      <c r="C11" s="5">
        <v>250</v>
      </c>
    </row>
    <row r="12" spans="1:3" x14ac:dyDescent="0.3">
      <c r="A12" s="4" t="s">
        <v>13</v>
      </c>
      <c r="B12" s="6">
        <v>0.2001</v>
      </c>
      <c r="C12" s="5">
        <v>250</v>
      </c>
    </row>
    <row r="13" spans="1:3" x14ac:dyDescent="0.3">
      <c r="A13" s="4" t="s">
        <v>14</v>
      </c>
      <c r="B13" s="6">
        <v>0.20019999999999999</v>
      </c>
      <c r="C13" s="5">
        <v>250</v>
      </c>
    </row>
    <row r="16" spans="1:3" x14ac:dyDescent="0.3">
      <c r="A16" s="15" t="s">
        <v>3</v>
      </c>
      <c r="B16" s="15"/>
      <c r="C16" s="15"/>
    </row>
    <row r="17" spans="1:3" x14ac:dyDescent="0.3">
      <c r="A17" s="4" t="s">
        <v>4</v>
      </c>
      <c r="B17" s="16" t="s">
        <v>15</v>
      </c>
      <c r="C17" s="16"/>
    </row>
    <row r="18" spans="1:3" x14ac:dyDescent="0.3">
      <c r="A18" s="4" t="s">
        <v>6</v>
      </c>
      <c r="B18" s="16"/>
      <c r="C18" s="16"/>
    </row>
    <row r="19" spans="1:3" x14ac:dyDescent="0.3">
      <c r="A19" s="4" t="s">
        <v>7</v>
      </c>
      <c r="B19" s="16"/>
      <c r="C19" s="16"/>
    </row>
    <row r="20" spans="1:3" x14ac:dyDescent="0.3">
      <c r="A20" s="4" t="s">
        <v>8</v>
      </c>
      <c r="B20" s="4" t="s">
        <v>9</v>
      </c>
      <c r="C20" s="4" t="s">
        <v>10</v>
      </c>
    </row>
    <row r="21" spans="1:3" x14ac:dyDescent="0.3">
      <c r="A21" s="4" t="s">
        <v>13</v>
      </c>
      <c r="B21" s="6">
        <v>0.2001</v>
      </c>
      <c r="C21" s="5">
        <v>250</v>
      </c>
    </row>
    <row r="22" spans="1:3" x14ac:dyDescent="0.3">
      <c r="A22" s="4" t="s">
        <v>14</v>
      </c>
      <c r="B22" s="6">
        <v>0.20019999999999999</v>
      </c>
      <c r="C22" s="5">
        <v>250</v>
      </c>
    </row>
    <row r="25" spans="1:3" x14ac:dyDescent="0.3">
      <c r="A25" s="15" t="s">
        <v>16</v>
      </c>
      <c r="B25" s="15"/>
      <c r="C25" s="15"/>
    </row>
    <row r="26" spans="1:3" x14ac:dyDescent="0.3">
      <c r="A26" s="4" t="s">
        <v>4</v>
      </c>
      <c r="B26" s="16" t="s">
        <v>17</v>
      </c>
      <c r="C26" s="16"/>
    </row>
    <row r="27" spans="1:3" x14ac:dyDescent="0.3">
      <c r="A27" s="4" t="s">
        <v>6</v>
      </c>
      <c r="B27" s="16"/>
      <c r="C27" s="16"/>
    </row>
    <row r="28" spans="1:3" x14ac:dyDescent="0.3">
      <c r="A28" s="4" t="s">
        <v>18</v>
      </c>
      <c r="B28" s="16"/>
      <c r="C28" s="16"/>
    </row>
    <row r="29" spans="1:3" x14ac:dyDescent="0.3">
      <c r="A29" s="4" t="s">
        <v>8</v>
      </c>
      <c r="B29" s="4" t="s">
        <v>9</v>
      </c>
      <c r="C29" s="4" t="s">
        <v>10</v>
      </c>
    </row>
    <row r="30" spans="1:3" x14ac:dyDescent="0.3">
      <c r="A30" s="4" t="s">
        <v>19</v>
      </c>
      <c r="B30" s="6">
        <v>0.5</v>
      </c>
      <c r="C30" s="5">
        <v>50</v>
      </c>
    </row>
    <row r="31" spans="1:3" x14ac:dyDescent="0.3">
      <c r="A31" s="4" t="s">
        <v>20</v>
      </c>
      <c r="B31" s="6">
        <v>0.5</v>
      </c>
      <c r="C31" s="5">
        <v>50</v>
      </c>
    </row>
  </sheetData>
  <mergeCells count="12">
    <mergeCell ref="B27:C27"/>
    <mergeCell ref="B28:C28"/>
    <mergeCell ref="B17:C17"/>
    <mergeCell ref="B18:C18"/>
    <mergeCell ref="B19:C19"/>
    <mergeCell ref="A25:C25"/>
    <mergeCell ref="B26:C26"/>
    <mergeCell ref="A5:C5"/>
    <mergeCell ref="B6:C6"/>
    <mergeCell ref="B7:C7"/>
    <mergeCell ref="B8:C8"/>
    <mergeCell ref="A16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tabSelected="1" zoomScaleNormal="100" workbookViewId="0">
      <selection activeCell="F15" sqref="F15"/>
    </sheetView>
  </sheetViews>
  <sheetFormatPr defaultRowHeight="14.4" x14ac:dyDescent="0.3"/>
  <cols>
    <col min="1" max="1" width="12" bestFit="1" customWidth="1"/>
    <col min="2" max="2" width="10.88671875" bestFit="1" customWidth="1"/>
    <col min="3" max="3" width="19.109375" bestFit="1" customWidth="1"/>
    <col min="4" max="4" width="14.6640625" bestFit="1" customWidth="1"/>
    <col min="5" max="5" width="11.33203125" bestFit="1" customWidth="1"/>
    <col min="6" max="6" width="10" bestFit="1" customWidth="1"/>
    <col min="7" max="10" width="7.6640625" customWidth="1"/>
  </cols>
  <sheetData>
    <row r="1" spans="1:9" x14ac:dyDescent="0.3">
      <c r="A1" s="1" t="s">
        <v>0</v>
      </c>
      <c r="B1" s="2">
        <v>46248</v>
      </c>
    </row>
    <row r="2" spans="1:9" x14ac:dyDescent="0.3">
      <c r="A2" s="1" t="s">
        <v>1</v>
      </c>
      <c r="B2" s="3" t="s">
        <v>2</v>
      </c>
    </row>
    <row r="5" spans="1:9" x14ac:dyDescent="0.3">
      <c r="A5" s="7" t="s">
        <v>21</v>
      </c>
      <c r="B5" s="8">
        <v>900</v>
      </c>
    </row>
    <row r="6" spans="1:9" x14ac:dyDescent="0.3">
      <c r="A6" s="4" t="s">
        <v>22</v>
      </c>
      <c r="B6" s="4" t="s">
        <v>23</v>
      </c>
      <c r="C6" s="4" t="s">
        <v>24</v>
      </c>
      <c r="D6" s="4" t="str">
        <f>"after "&amp;B5&amp;" °C"</f>
        <v>after 900 °C</v>
      </c>
      <c r="E6" s="4" t="s">
        <v>25</v>
      </c>
      <c r="F6" s="4" t="s">
        <v>26</v>
      </c>
    </row>
    <row r="7" spans="1:9" x14ac:dyDescent="0.3">
      <c r="A7" s="4" t="s">
        <v>27</v>
      </c>
      <c r="B7" s="6">
        <v>2</v>
      </c>
      <c r="C7" s="6">
        <v>2.1</v>
      </c>
      <c r="D7" s="6">
        <v>2.1</v>
      </c>
      <c r="E7" s="9">
        <f>(((C7-B7)-(D7-B7))/(C7-B7))*100</f>
        <v>0</v>
      </c>
      <c r="F7" s="6">
        <f>1-(E7/100)</f>
        <v>1</v>
      </c>
    </row>
    <row r="9" spans="1:9" x14ac:dyDescent="0.3">
      <c r="A9" s="17" t="s">
        <v>28</v>
      </c>
      <c r="B9" s="17"/>
    </row>
    <row r="10" spans="1:9" x14ac:dyDescent="0.3">
      <c r="A10" s="4" t="s">
        <v>22</v>
      </c>
      <c r="B10" s="4" t="s">
        <v>29</v>
      </c>
      <c r="C10" s="4" t="s">
        <v>30</v>
      </c>
      <c r="D10" s="4" t="s">
        <v>31</v>
      </c>
      <c r="E10" s="4" t="s">
        <v>32</v>
      </c>
    </row>
    <row r="11" spans="1:9" x14ac:dyDescent="0.3">
      <c r="A11" s="4" t="s">
        <v>11</v>
      </c>
      <c r="B11" s="5" t="str">
        <f>"50/2"</f>
        <v>50/2</v>
      </c>
      <c r="C11" s="10">
        <v>2.0449999999999999</v>
      </c>
      <c r="D11" s="9">
        <f>((C11)*(H11)*(I11))/(G11*$F$7)</f>
        <v>63906.25</v>
      </c>
      <c r="E11" s="9">
        <f>D11/10000</f>
        <v>6.390625</v>
      </c>
      <c r="G11" s="11">
        <f>digestion_page!B10</f>
        <v>0.2</v>
      </c>
      <c r="H11" s="11">
        <f>digestion_page!C10</f>
        <v>250</v>
      </c>
      <c r="I11" s="11">
        <f>(LEFT(B11,FIND("/",B11)-1)/RIGHT(B11,LEN(B11)-FIND("/", B11)))</f>
        <v>25</v>
      </c>
    </row>
    <row r="12" spans="1:9" x14ac:dyDescent="0.3">
      <c r="A12" s="4" t="s">
        <v>12</v>
      </c>
      <c r="B12" s="5" t="str">
        <f>"50/2"</f>
        <v>50/2</v>
      </c>
      <c r="C12" s="10">
        <v>2.0630000000000002</v>
      </c>
      <c r="D12" s="9">
        <f>((C12)*(H12)*(I12))/(G12*$F$7)</f>
        <v>64468.75</v>
      </c>
      <c r="E12" s="9">
        <f>D12/10000</f>
        <v>6.4468750000000004</v>
      </c>
      <c r="G12" s="11">
        <f>digestion_page!B11</f>
        <v>0.2</v>
      </c>
      <c r="H12" s="11">
        <f>digestion_page!C11</f>
        <v>250</v>
      </c>
      <c r="I12" s="11">
        <f>(LEFT(B12,FIND("/",B12)-1)/RIGHT(B12,LEN(B12)-FIND("/", B12)))</f>
        <v>25</v>
      </c>
    </row>
    <row r="14" spans="1:9" x14ac:dyDescent="0.3">
      <c r="A14" s="18" t="s">
        <v>33</v>
      </c>
      <c r="B14" s="18"/>
      <c r="C14" s="12">
        <f>AVERAGE(D11:D12)</f>
        <v>64187.5</v>
      </c>
    </row>
    <row r="15" spans="1:9" x14ac:dyDescent="0.3">
      <c r="A15" s="18" t="s">
        <v>33</v>
      </c>
      <c r="B15" s="18"/>
      <c r="C15" s="13">
        <f>AVERAGE(E11:E12)</f>
        <v>6.4187500000000002</v>
      </c>
    </row>
    <row r="16" spans="1:9" x14ac:dyDescent="0.3">
      <c r="A16" s="18" t="s">
        <v>34</v>
      </c>
      <c r="B16" s="18"/>
      <c r="C16" s="3">
        <v>1.399</v>
      </c>
    </row>
    <row r="17" spans="1:6" x14ac:dyDescent="0.3">
      <c r="A17" s="21" t="s">
        <v>35</v>
      </c>
      <c r="B17" s="21"/>
      <c r="C17" s="23">
        <f>AVERAGE(E11:E12)*(C16)</f>
        <v>8.9798312500000002</v>
      </c>
    </row>
    <row r="18" spans="1:6" x14ac:dyDescent="0.3">
      <c r="A18" s="18" t="s">
        <v>36</v>
      </c>
      <c r="B18" s="18"/>
      <c r="C18" s="19" t="s">
        <v>37</v>
      </c>
      <c r="D18" s="19"/>
      <c r="E18" s="19"/>
      <c r="F18" s="19"/>
    </row>
    <row r="20" spans="1:6" x14ac:dyDescent="0.3">
      <c r="B20" s="7" t="s">
        <v>38</v>
      </c>
      <c r="C20" s="20"/>
      <c r="D20" s="20"/>
      <c r="E20" s="20"/>
      <c r="F20" s="20"/>
    </row>
    <row r="21" spans="1:6" x14ac:dyDescent="0.3">
      <c r="C21" s="20"/>
      <c r="D21" s="20"/>
      <c r="E21" s="20"/>
      <c r="F21" s="20"/>
    </row>
    <row r="22" spans="1:6" x14ac:dyDescent="0.3">
      <c r="C22" s="20"/>
      <c r="D22" s="20"/>
      <c r="E22" s="20"/>
      <c r="F22" s="20"/>
    </row>
  </sheetData>
  <mergeCells count="8">
    <mergeCell ref="A18:B18"/>
    <mergeCell ref="C18:F18"/>
    <mergeCell ref="C20:F22"/>
    <mergeCell ref="A9:B9"/>
    <mergeCell ref="A14:B14"/>
    <mergeCell ref="A15:B15"/>
    <mergeCell ref="A16:B16"/>
    <mergeCell ref="A17:B17"/>
  </mergeCells>
  <conditionalFormatting sqref="B5">
    <cfRule type="containsBlanks" dxfId="6" priority="1">
      <formula>LEN(TRIM(B5))=0</formula>
    </cfRule>
  </conditionalFormatting>
  <conditionalFormatting sqref="C18:F18">
    <cfRule type="containsBlanks" dxfId="5" priority="2">
      <formula>LEN(TRIM(C18))=0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"/>
  <sheetViews>
    <sheetView topLeftCell="A7" workbookViewId="0">
      <selection activeCell="B34" sqref="B34"/>
    </sheetView>
  </sheetViews>
  <sheetFormatPr defaultRowHeight="14.4" x14ac:dyDescent="0.3"/>
  <cols>
    <col min="1" max="1" width="12" bestFit="1" customWidth="1"/>
    <col min="2" max="2" width="10.88671875" bestFit="1" customWidth="1"/>
    <col min="3" max="3" width="19.109375" bestFit="1" customWidth="1"/>
    <col min="4" max="4" width="14.6640625" bestFit="1" customWidth="1"/>
    <col min="5" max="5" width="11.33203125" bestFit="1" customWidth="1"/>
    <col min="6" max="6" width="10" bestFit="1" customWidth="1"/>
    <col min="7" max="21" width="7.6640625" customWidth="1"/>
  </cols>
  <sheetData>
    <row r="1" spans="1:9" x14ac:dyDescent="0.3">
      <c r="A1" s="1" t="s">
        <v>0</v>
      </c>
      <c r="B1" s="2">
        <v>46248</v>
      </c>
    </row>
    <row r="2" spans="1:9" x14ac:dyDescent="0.3">
      <c r="A2" s="1" t="s">
        <v>1</v>
      </c>
      <c r="B2" s="3" t="s">
        <v>2</v>
      </c>
    </row>
    <row r="5" spans="1:9" x14ac:dyDescent="0.3">
      <c r="A5" s="7" t="s">
        <v>21</v>
      </c>
      <c r="B5" s="8">
        <v>900</v>
      </c>
    </row>
    <row r="6" spans="1:9" x14ac:dyDescent="0.3">
      <c r="A6" s="4" t="s">
        <v>22</v>
      </c>
      <c r="B6" s="4" t="s">
        <v>23</v>
      </c>
      <c r="C6" s="4" t="s">
        <v>24</v>
      </c>
      <c r="D6" s="4" t="str">
        <f>"after "&amp;B5&amp;" °C"</f>
        <v>after 900 °C</v>
      </c>
      <c r="E6" s="4" t="s">
        <v>25</v>
      </c>
      <c r="F6" s="4" t="s">
        <v>26</v>
      </c>
    </row>
    <row r="7" spans="1:9" x14ac:dyDescent="0.3">
      <c r="A7" s="4" t="s">
        <v>39</v>
      </c>
      <c r="B7" s="6">
        <v>2</v>
      </c>
      <c r="C7" s="6">
        <v>2.1</v>
      </c>
      <c r="D7" s="6">
        <v>2.1</v>
      </c>
      <c r="E7" s="9">
        <f>(((C7-B7)-(D7-B7))/(C7-B7))*100</f>
        <v>0</v>
      </c>
      <c r="F7" s="6">
        <f>1-(E7/100)</f>
        <v>1</v>
      </c>
    </row>
    <row r="9" spans="1:9" x14ac:dyDescent="0.3">
      <c r="A9" s="17" t="s">
        <v>28</v>
      </c>
      <c r="B9" s="17"/>
    </row>
    <row r="10" spans="1:9" x14ac:dyDescent="0.3">
      <c r="A10" s="4" t="s">
        <v>22</v>
      </c>
      <c r="B10" s="4" t="s">
        <v>29</v>
      </c>
      <c r="C10" s="4" t="s">
        <v>30</v>
      </c>
      <c r="D10" s="4" t="s">
        <v>31</v>
      </c>
      <c r="E10" s="4" t="s">
        <v>32</v>
      </c>
    </row>
    <row r="11" spans="1:9" x14ac:dyDescent="0.3">
      <c r="A11" s="4" t="s">
        <v>13</v>
      </c>
      <c r="B11" s="5" t="str">
        <f>"50/2"</f>
        <v>50/2</v>
      </c>
      <c r="C11" s="10">
        <v>2.0630000000000002</v>
      </c>
      <c r="D11" s="9">
        <f>((C11)*(H11)*(I11))/(G11*$F$7)</f>
        <v>64436.531734132936</v>
      </c>
      <c r="E11" s="9">
        <f>D11/10000</f>
        <v>6.4436531734132938</v>
      </c>
      <c r="G11" s="11">
        <f>digestion_page!B12</f>
        <v>0.2001</v>
      </c>
      <c r="H11" s="11">
        <f>digestion_page!C12</f>
        <v>250</v>
      </c>
      <c r="I11" s="11">
        <f>(LEFT(B11,FIND("/",B11)-1)/RIGHT(B11,LEN(B11)-FIND("/", B11)))</f>
        <v>25</v>
      </c>
    </row>
    <row r="12" spans="1:9" x14ac:dyDescent="0.3">
      <c r="A12" s="4" t="s">
        <v>14</v>
      </c>
      <c r="B12" s="5" t="str">
        <f>"50/2"</f>
        <v>50/2</v>
      </c>
      <c r="C12" s="10">
        <v>2.085</v>
      </c>
      <c r="D12" s="9">
        <f>((C12)*(H12)*(I12))/(G12*$F$7)</f>
        <v>65091.158841158845</v>
      </c>
      <c r="E12" s="9">
        <f>D12/10000</f>
        <v>6.5091158841158849</v>
      </c>
      <c r="G12" s="11">
        <f>digestion_page!B13</f>
        <v>0.20019999999999999</v>
      </c>
      <c r="H12" s="11">
        <f>digestion_page!C13</f>
        <v>250</v>
      </c>
      <c r="I12" s="11">
        <f>(LEFT(B12,FIND("/",B12)-1)/RIGHT(B12,LEN(B12)-FIND("/", B12)))</f>
        <v>25</v>
      </c>
    </row>
    <row r="14" spans="1:9" x14ac:dyDescent="0.3">
      <c r="A14" s="18" t="s">
        <v>33</v>
      </c>
      <c r="B14" s="18"/>
      <c r="C14" s="12">
        <f>AVERAGE(D11:D12)</f>
        <v>64763.84528764589</v>
      </c>
    </row>
    <row r="15" spans="1:9" x14ac:dyDescent="0.3">
      <c r="A15" s="18" t="s">
        <v>33</v>
      </c>
      <c r="B15" s="18"/>
      <c r="C15" s="13">
        <f>AVERAGE(E11:E12)</f>
        <v>6.4763845287645889</v>
      </c>
    </row>
    <row r="16" spans="1:9" x14ac:dyDescent="0.3">
      <c r="A16" s="18" t="s">
        <v>34</v>
      </c>
      <c r="B16" s="18"/>
      <c r="C16" s="3">
        <v>1.399</v>
      </c>
    </row>
    <row r="17" spans="1:9" x14ac:dyDescent="0.3">
      <c r="A17" s="21" t="s">
        <v>35</v>
      </c>
      <c r="B17" s="21"/>
      <c r="C17" s="23">
        <f>AVERAGE(E11:E12)*(C16)</f>
        <v>9.0604619557416601</v>
      </c>
    </row>
    <row r="18" spans="1:9" x14ac:dyDescent="0.3">
      <c r="A18" s="18" t="s">
        <v>36</v>
      </c>
      <c r="B18" s="18"/>
      <c r="C18" s="19" t="s">
        <v>37</v>
      </c>
      <c r="D18" s="19"/>
      <c r="E18" s="19"/>
      <c r="F18" s="19"/>
    </row>
    <row r="20" spans="1:9" x14ac:dyDescent="0.3">
      <c r="A20" s="17" t="s">
        <v>40</v>
      </c>
      <c r="B20" s="17"/>
    </row>
    <row r="21" spans="1:9" x14ac:dyDescent="0.3">
      <c r="A21" s="4" t="s">
        <v>22</v>
      </c>
      <c r="B21" s="4" t="s">
        <v>29</v>
      </c>
      <c r="C21" s="4" t="s">
        <v>30</v>
      </c>
      <c r="D21" s="4" t="s">
        <v>41</v>
      </c>
      <c r="E21" s="4" t="s">
        <v>42</v>
      </c>
    </row>
    <row r="22" spans="1:9" x14ac:dyDescent="0.3">
      <c r="A22" s="4" t="s">
        <v>13</v>
      </c>
      <c r="B22" s="5" t="str">
        <f>"10/1"</f>
        <v>10/1</v>
      </c>
      <c r="C22" s="10">
        <v>1.889</v>
      </c>
      <c r="D22" s="9">
        <f>((C22)*(H22)*(I22))/(G22*$F$7)</f>
        <v>23600.699650174913</v>
      </c>
      <c r="E22" s="9">
        <f>D22/10000</f>
        <v>2.3600699650174914</v>
      </c>
      <c r="G22" s="11">
        <f>digestion_page!B21</f>
        <v>0.2001</v>
      </c>
      <c r="H22" s="11">
        <f>digestion_page!C21</f>
        <v>250</v>
      </c>
      <c r="I22" s="11">
        <f>(LEFT(B22,FIND("/",B22)-1)/RIGHT(B22,LEN(B22)-FIND("/", B22)))</f>
        <v>10</v>
      </c>
    </row>
    <row r="23" spans="1:9" x14ac:dyDescent="0.3">
      <c r="A23" s="4" t="s">
        <v>14</v>
      </c>
      <c r="B23" s="5" t="str">
        <f>"10/1"</f>
        <v>10/1</v>
      </c>
      <c r="C23" s="10">
        <v>1.9059999999999999</v>
      </c>
      <c r="D23" s="9">
        <f>((C23)*(H23)*(I23))/(G23*$F$7)</f>
        <v>23801.198801198803</v>
      </c>
      <c r="E23" s="9">
        <f>D23/10000</f>
        <v>2.3801198801198802</v>
      </c>
      <c r="G23" s="11">
        <f>digestion_page!B22</f>
        <v>0.20019999999999999</v>
      </c>
      <c r="H23" s="11">
        <f>digestion_page!C22</f>
        <v>250</v>
      </c>
      <c r="I23" s="11">
        <f>(LEFT(B23,FIND("/",B23)-1)/RIGHT(B23,LEN(B23)-FIND("/", B23)))</f>
        <v>10</v>
      </c>
    </row>
    <row r="25" spans="1:9" x14ac:dyDescent="0.3">
      <c r="A25" s="18" t="s">
        <v>43</v>
      </c>
      <c r="B25" s="18"/>
      <c r="C25" s="12">
        <f>AVERAGE(D22:D23)</f>
        <v>23700.949225686858</v>
      </c>
    </row>
    <row r="26" spans="1:9" x14ac:dyDescent="0.3">
      <c r="A26" s="18" t="s">
        <v>43</v>
      </c>
      <c r="B26" s="18"/>
      <c r="C26" s="13">
        <f>AVERAGE(E22:E23)</f>
        <v>2.3700949225686858</v>
      </c>
    </row>
    <row r="27" spans="1:9" x14ac:dyDescent="0.3">
      <c r="A27" s="18" t="s">
        <v>44</v>
      </c>
      <c r="B27" s="18"/>
      <c r="C27" s="3">
        <v>1.6679999999999999</v>
      </c>
    </row>
    <row r="28" spans="1:9" x14ac:dyDescent="0.3">
      <c r="A28" s="21" t="s">
        <v>45</v>
      </c>
      <c r="B28" s="21"/>
      <c r="C28" s="23">
        <f>AVERAGE(E22:E23)*(C27)</f>
        <v>3.9533183308445676</v>
      </c>
    </row>
    <row r="29" spans="1:9" x14ac:dyDescent="0.3">
      <c r="A29" s="18" t="s">
        <v>46</v>
      </c>
      <c r="B29" s="18"/>
      <c r="C29" s="19" t="s">
        <v>47</v>
      </c>
      <c r="D29" s="19"/>
      <c r="E29" s="19"/>
      <c r="F29" s="19"/>
    </row>
    <row r="31" spans="1:9" x14ac:dyDescent="0.3">
      <c r="B31" s="7" t="s">
        <v>38</v>
      </c>
      <c r="C31" s="20"/>
      <c r="D31" s="20"/>
      <c r="E31" s="20"/>
      <c r="F31" s="20"/>
    </row>
    <row r="32" spans="1:9" x14ac:dyDescent="0.3">
      <c r="C32" s="20"/>
      <c r="D32" s="20"/>
      <c r="E32" s="20"/>
      <c r="F32" s="20"/>
    </row>
    <row r="33" spans="3:6" x14ac:dyDescent="0.3">
      <c r="C33" s="20"/>
      <c r="D33" s="20"/>
      <c r="E33" s="20"/>
      <c r="F33" s="20"/>
    </row>
  </sheetData>
  <mergeCells count="15">
    <mergeCell ref="A27:B27"/>
    <mergeCell ref="A28:B28"/>
    <mergeCell ref="A29:B29"/>
    <mergeCell ref="C29:F29"/>
    <mergeCell ref="C31:F33"/>
    <mergeCell ref="A18:B18"/>
    <mergeCell ref="C18:F18"/>
    <mergeCell ref="A20:B20"/>
    <mergeCell ref="A25:B25"/>
    <mergeCell ref="A26:B26"/>
    <mergeCell ref="A9:B9"/>
    <mergeCell ref="A14:B14"/>
    <mergeCell ref="A15:B15"/>
    <mergeCell ref="A16:B16"/>
    <mergeCell ref="A17:B17"/>
  </mergeCells>
  <conditionalFormatting sqref="B5">
    <cfRule type="containsBlanks" dxfId="4" priority="1">
      <formula>LEN(TRIM(B5))=0</formula>
    </cfRule>
  </conditionalFormatting>
  <conditionalFormatting sqref="C18:F18">
    <cfRule type="containsBlanks" dxfId="3" priority="2">
      <formula>LEN(TRIM(C18))=0</formula>
    </cfRule>
  </conditionalFormatting>
  <conditionalFormatting sqref="C29:F29">
    <cfRule type="containsBlanks" dxfId="2" priority="3">
      <formula>LEN(TRIM(C29))=0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>
      <selection activeCell="D22" sqref="D22"/>
    </sheetView>
  </sheetViews>
  <sheetFormatPr defaultRowHeight="14.4" x14ac:dyDescent="0.3"/>
  <cols>
    <col min="1" max="1" width="12" bestFit="1" customWidth="1"/>
    <col min="2" max="2" width="10.88671875" bestFit="1" customWidth="1"/>
    <col min="3" max="3" width="19.109375" bestFit="1" customWidth="1"/>
    <col min="4" max="4" width="14.44140625" bestFit="1" customWidth="1"/>
    <col min="5" max="5" width="11" bestFit="1" customWidth="1"/>
    <col min="6" max="6" width="10" bestFit="1" customWidth="1"/>
    <col min="7" max="10" width="7.6640625" customWidth="1"/>
  </cols>
  <sheetData>
    <row r="1" spans="1:9" x14ac:dyDescent="0.3">
      <c r="A1" s="1" t="s">
        <v>0</v>
      </c>
      <c r="B1" s="2">
        <v>46248</v>
      </c>
    </row>
    <row r="2" spans="1:9" x14ac:dyDescent="0.3">
      <c r="A2" s="1" t="s">
        <v>1</v>
      </c>
      <c r="B2" s="3" t="s">
        <v>2</v>
      </c>
    </row>
    <row r="5" spans="1:9" x14ac:dyDescent="0.3">
      <c r="A5" s="7" t="s">
        <v>21</v>
      </c>
      <c r="B5" s="8">
        <v>900</v>
      </c>
    </row>
    <row r="6" spans="1:9" x14ac:dyDescent="0.3">
      <c r="A6" s="4" t="s">
        <v>22</v>
      </c>
      <c r="B6" s="4" t="s">
        <v>23</v>
      </c>
      <c r="C6" s="4" t="s">
        <v>24</v>
      </c>
      <c r="D6" s="4" t="str">
        <f>"after "&amp;B5&amp;" °C"</f>
        <v>after 900 °C</v>
      </c>
      <c r="E6" s="4" t="s">
        <v>25</v>
      </c>
      <c r="F6" s="4" t="s">
        <v>26</v>
      </c>
    </row>
    <row r="7" spans="1:9" x14ac:dyDescent="0.3">
      <c r="A7" s="4" t="s">
        <v>48</v>
      </c>
      <c r="B7" s="6">
        <v>2</v>
      </c>
      <c r="C7" s="6">
        <v>2.1</v>
      </c>
      <c r="D7" s="6">
        <v>2.1</v>
      </c>
      <c r="E7" s="9">
        <f>(((C7-B7)-(D7-B7))/(C7-B7))*100</f>
        <v>0</v>
      </c>
      <c r="F7" s="6">
        <f>1-(E7/100)</f>
        <v>1</v>
      </c>
    </row>
    <row r="9" spans="1:9" x14ac:dyDescent="0.3">
      <c r="A9" s="17" t="s">
        <v>49</v>
      </c>
      <c r="B9" s="17"/>
    </row>
    <row r="10" spans="1:9" x14ac:dyDescent="0.3">
      <c r="A10" s="4" t="s">
        <v>22</v>
      </c>
      <c r="B10" s="4" t="s">
        <v>29</v>
      </c>
      <c r="C10" s="4" t="s">
        <v>30</v>
      </c>
      <c r="D10" s="4" t="s">
        <v>50</v>
      </c>
      <c r="E10" s="4" t="s">
        <v>51</v>
      </c>
    </row>
    <row r="11" spans="1:9" x14ac:dyDescent="0.3">
      <c r="A11" s="4" t="s">
        <v>19</v>
      </c>
      <c r="B11" s="5" t="str">
        <f>"10/9"</f>
        <v>10/9</v>
      </c>
      <c r="C11" s="10">
        <v>2</v>
      </c>
      <c r="D11" s="9">
        <f>((C11)*(H11)*(I11))/(G11*$F$7)</f>
        <v>222.22222222222223</v>
      </c>
      <c r="E11" s="9">
        <f>D11/10000</f>
        <v>2.2222222222222223E-2</v>
      </c>
      <c r="G11" s="11">
        <f>digestion_page!B30</f>
        <v>0.5</v>
      </c>
      <c r="H11" s="11">
        <f>digestion_page!C30</f>
        <v>50</v>
      </c>
      <c r="I11" s="11">
        <f>(LEFT(B11,FIND("/",B11)-1)/RIGHT(B11,LEN(B11)-FIND("/", B11)))</f>
        <v>1.1111111111111112</v>
      </c>
    </row>
    <row r="12" spans="1:9" x14ac:dyDescent="0.3">
      <c r="A12" s="4" t="s">
        <v>20</v>
      </c>
      <c r="B12" s="5" t="str">
        <f>"10/9"</f>
        <v>10/9</v>
      </c>
      <c r="C12" s="10">
        <v>2.0019999999999998</v>
      </c>
      <c r="D12" s="9">
        <f>((C12)*(H12)*(I12))/(G12*$F$7)</f>
        <v>222.44444444444443</v>
      </c>
      <c r="E12" s="9">
        <f>D12/10000</f>
        <v>2.2244444444444442E-2</v>
      </c>
      <c r="G12" s="11">
        <f>digestion_page!B31</f>
        <v>0.5</v>
      </c>
      <c r="H12" s="11">
        <f>digestion_page!C31</f>
        <v>50</v>
      </c>
      <c r="I12" s="11">
        <f>(LEFT(B12,FIND("/",B12)-1)/RIGHT(B12,LEN(B12)-FIND("/", B12)))</f>
        <v>1.1111111111111112</v>
      </c>
    </row>
    <row r="14" spans="1:9" x14ac:dyDescent="0.3">
      <c r="A14" s="21" t="s">
        <v>52</v>
      </c>
      <c r="B14" s="21"/>
      <c r="C14" s="22">
        <f>AVERAGE(D11:D12)</f>
        <v>222.33333333333331</v>
      </c>
    </row>
    <row r="15" spans="1:9" x14ac:dyDescent="0.3">
      <c r="A15" s="18" t="s">
        <v>52</v>
      </c>
      <c r="B15" s="18"/>
      <c r="C15" s="13">
        <f>AVERAGE(E11:E12)</f>
        <v>2.2233333333333334E-2</v>
      </c>
    </row>
    <row r="16" spans="1:9" x14ac:dyDescent="0.3">
      <c r="A16" s="18" t="s">
        <v>53</v>
      </c>
      <c r="B16" s="18"/>
      <c r="C16" s="19" t="s">
        <v>54</v>
      </c>
      <c r="D16" s="19"/>
      <c r="E16" s="19"/>
      <c r="F16" s="19"/>
    </row>
    <row r="18" spans="2:6" x14ac:dyDescent="0.3">
      <c r="B18" s="7" t="s">
        <v>38</v>
      </c>
      <c r="C18" s="20"/>
      <c r="D18" s="20"/>
      <c r="E18" s="20"/>
      <c r="F18" s="20"/>
    </row>
    <row r="19" spans="2:6" x14ac:dyDescent="0.3">
      <c r="C19" s="20"/>
      <c r="D19" s="20"/>
      <c r="E19" s="20"/>
      <c r="F19" s="20"/>
    </row>
    <row r="20" spans="2:6" x14ac:dyDescent="0.3">
      <c r="C20" s="20"/>
      <c r="D20" s="20"/>
      <c r="E20" s="20"/>
      <c r="F20" s="20"/>
    </row>
  </sheetData>
  <mergeCells count="6">
    <mergeCell ref="C18:F20"/>
    <mergeCell ref="A9:B9"/>
    <mergeCell ref="A14:B14"/>
    <mergeCell ref="A15:B15"/>
    <mergeCell ref="A16:B16"/>
    <mergeCell ref="C16:F16"/>
  </mergeCells>
  <conditionalFormatting sqref="B5">
    <cfRule type="containsBlanks" dxfId="1" priority="1">
      <formula>LEN(TRIM(B5))=0</formula>
    </cfRule>
  </conditionalFormatting>
  <conditionalFormatting sqref="C16:F16">
    <cfRule type="containsBlanks" dxfId="0" priority="2">
      <formula>LEN(TRIM(C16))=0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1"/>
  <sheetViews>
    <sheetView workbookViewId="0"/>
  </sheetViews>
  <sheetFormatPr defaultRowHeight="14.4" x14ac:dyDescent="0.3"/>
  <cols>
    <col min="1" max="1" width="46.109375" bestFit="1" customWidth="1"/>
  </cols>
  <sheetData>
    <row r="1" spans="1:1" x14ac:dyDescent="0.3">
      <c r="A1" s="14" t="s">
        <v>55</v>
      </c>
    </row>
    <row r="3" spans="1:1" x14ac:dyDescent="0.3">
      <c r="A3" s="14" t="s">
        <v>56</v>
      </c>
    </row>
    <row r="5" spans="1:1" x14ac:dyDescent="0.3">
      <c r="A5" s="14" t="s">
        <v>57</v>
      </c>
    </row>
    <row r="7" spans="1:1" x14ac:dyDescent="0.3">
      <c r="A7" s="14" t="s">
        <v>57</v>
      </c>
    </row>
    <row r="9" spans="1:1" x14ac:dyDescent="0.3">
      <c r="A9" s="14" t="s">
        <v>58</v>
      </c>
    </row>
    <row r="10" spans="1:1" x14ac:dyDescent="0.3">
      <c r="A10" s="14" t="s">
        <v>59</v>
      </c>
    </row>
    <row r="11" spans="1:1" x14ac:dyDescent="0.3">
      <c r="A11" s="14" t="s">
        <v>60</v>
      </c>
    </row>
    <row r="13" spans="1:1" x14ac:dyDescent="0.3">
      <c r="A13" s="14" t="s">
        <v>61</v>
      </c>
    </row>
    <row r="15" spans="1:1" x14ac:dyDescent="0.3">
      <c r="A15" s="14" t="s">
        <v>62</v>
      </c>
    </row>
    <row r="17" spans="1:1" x14ac:dyDescent="0.3">
      <c r="A17" s="14" t="s">
        <v>63</v>
      </c>
    </row>
    <row r="19" spans="1:1" x14ac:dyDescent="0.3">
      <c r="A19" s="14" t="s">
        <v>64</v>
      </c>
    </row>
    <row r="21" spans="1:1" x14ac:dyDescent="0.3">
      <c r="A21" s="1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digestion_page</vt:lpstr>
      <vt:lpstr>200120000</vt:lpstr>
      <vt:lpstr>200120002</vt:lpstr>
      <vt:lpstr>200120004</vt:lpstr>
      <vt:lpstr>formula_page</vt:lpstr>
    </vt:vector>
  </TitlesOfParts>
  <Company>Clariant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dc:description>Created with Python, XlsxWriter</dc:description>
  <cp:lastModifiedBy>Archemetre, Carl P.</cp:lastModifiedBy>
  <dcterms:created xsi:type="dcterms:W3CDTF">2026-08-14T23:08:21Z</dcterms:created>
  <dcterms:modified xsi:type="dcterms:W3CDTF">2026-08-14T23:34:34Z</dcterms:modified>
</cp:coreProperties>
</file>